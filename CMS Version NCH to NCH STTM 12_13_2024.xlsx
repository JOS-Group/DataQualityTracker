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auraManning\Documents\NCH Modernization\Analysis\"/>
    </mc:Choice>
  </mc:AlternateContent>
  <xr:revisionPtr revIDLastSave="0" documentId="8_{195B518E-0E94-44E0-AF60-53DDAF5235DE}" xr6:coauthVersionLast="47" xr6:coauthVersionMax="47" xr10:uidLastSave="{00000000-0000-0000-0000-000000000000}"/>
  <bookViews>
    <workbookView xWindow="-108" yWindow="-108" windowWidth="23256" windowHeight="12456" firstSheet="1" activeTab="2" xr2:uid="{8D0D915A-E07C-46E8-B19A-E7E3287840E6}"/>
  </bookViews>
  <sheets>
    <sheet name="Lynnette's Version" sheetId="1" r:id="rId1"/>
    <sheet name="NCH STTM to NCH Data &amp; % Pop" sheetId="2" r:id="rId2"/>
    <sheet name="Missing STTM Cols with Data" sheetId="6" r:id="rId3"/>
  </sheets>
  <definedNames>
    <definedName name="_xlnm._FilterDatabase" localSheetId="1" hidden="1">'NCH STTM to NCH Data &amp; % Pop'!$A$2:$AI$287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4" i="2" l="1"/>
  <c r="AF148" i="2"/>
  <c r="AE148" i="2" s="1"/>
  <c r="AD148" i="2" s="1"/>
  <c r="AC148" i="2" s="1"/>
  <c r="I123" i="2"/>
  <c r="AE113" i="2"/>
  <c r="AC34" i="2"/>
  <c r="AC36" i="2"/>
  <c r="AC59" i="2"/>
  <c r="AD75" i="2"/>
  <c r="AC75" i="2"/>
  <c r="AC219" i="2"/>
  <c r="AE214" i="2"/>
  <c r="AE256" i="2"/>
  <c r="AE35" i="2"/>
  <c r="AE37" i="2"/>
  <c r="AE53" i="2"/>
  <c r="AE99" i="2"/>
  <c r="AC99" i="2"/>
  <c r="AC214" i="2"/>
  <c r="AC256" i="2"/>
  <c r="AC35" i="2"/>
  <c r="AC37" i="2"/>
  <c r="AC53" i="2"/>
  <c r="AF187" i="2"/>
  <c r="AE187" i="2" s="1"/>
  <c r="AD187" i="2"/>
  <c r="AC187" i="2" s="1"/>
  <c r="AC165" i="2"/>
  <c r="AC208" i="2"/>
  <c r="I270" i="2"/>
  <c r="O79" i="2"/>
  <c r="N79" i="2" s="1"/>
  <c r="O77" i="2"/>
  <c r="N77" i="2" s="1"/>
  <c r="O83" i="2"/>
  <c r="N83" i="2" s="1"/>
  <c r="O221" i="2"/>
  <c r="N221" i="2" s="1"/>
  <c r="O225" i="2"/>
  <c r="N225" i="2" s="1"/>
  <c r="O224" i="2"/>
  <c r="N224" i="2" s="1"/>
  <c r="O228" i="2"/>
  <c r="N228" i="2" s="1"/>
  <c r="O229" i="2"/>
  <c r="N229" i="2" s="1"/>
  <c r="O230" i="2"/>
  <c r="N230" i="2" s="1"/>
  <c r="O231" i="2"/>
  <c r="N231" i="2" s="1"/>
  <c r="O232" i="2"/>
  <c r="N232" i="2" s="1"/>
  <c r="O233" i="2"/>
  <c r="N233" i="2" s="1"/>
  <c r="O234" i="2"/>
  <c r="N234" i="2" s="1"/>
  <c r="O235" i="2"/>
  <c r="N235" i="2" s="1"/>
  <c r="O236" i="2"/>
  <c r="N236" i="2" s="1"/>
  <c r="O237" i="2"/>
  <c r="N237" i="2" s="1"/>
  <c r="O223" i="2"/>
  <c r="N223" i="2" s="1"/>
  <c r="O222" i="2"/>
  <c r="N222" i="2" s="1"/>
  <c r="O227" i="2"/>
  <c r="N227" i="2" s="1"/>
  <c r="O226" i="2"/>
  <c r="N226" i="2" s="1"/>
  <c r="O102" i="2"/>
  <c r="N102" i="2" s="1"/>
  <c r="O113" i="2"/>
  <c r="N113" i="2" s="1"/>
  <c r="O114" i="2"/>
  <c r="N114" i="2" s="1"/>
  <c r="O115" i="2"/>
  <c r="N115" i="2" s="1"/>
  <c r="O116" i="2"/>
  <c r="N116" i="2" s="1"/>
  <c r="O117" i="2"/>
  <c r="N117" i="2" s="1"/>
  <c r="O118" i="2"/>
  <c r="N118" i="2" s="1"/>
  <c r="O122" i="2"/>
  <c r="N122" i="2" s="1"/>
  <c r="O199" i="2"/>
  <c r="N199" i="2" s="1"/>
  <c r="O213" i="2"/>
  <c r="N213" i="2" s="1"/>
  <c r="O214" i="2"/>
  <c r="N214" i="2" s="1"/>
  <c r="O256" i="2"/>
  <c r="N256" i="2" s="1"/>
  <c r="O258" i="2"/>
  <c r="N258" i="2" s="1"/>
  <c r="O34" i="2"/>
  <c r="N34" i="2" s="1"/>
  <c r="O35" i="2"/>
  <c r="N35" i="2" s="1"/>
  <c r="O36" i="2"/>
  <c r="N36" i="2" s="1"/>
  <c r="O37" i="2"/>
  <c r="N37" i="2" s="1"/>
  <c r="O44" i="2"/>
  <c r="N44" i="2" s="1"/>
  <c r="O53" i="2"/>
  <c r="N53" i="2" s="1"/>
  <c r="O59" i="2"/>
  <c r="N59" i="2" s="1"/>
  <c r="O75" i="2"/>
  <c r="N75" i="2" s="1"/>
  <c r="O81" i="2"/>
  <c r="N81" i="2" s="1"/>
  <c r="O84" i="2"/>
  <c r="N84" i="2" s="1"/>
  <c r="O85" i="2"/>
  <c r="N85" i="2" s="1"/>
  <c r="O86" i="2"/>
  <c r="N86" i="2" s="1"/>
  <c r="O87" i="2"/>
  <c r="N87" i="2" s="1"/>
  <c r="O88" i="2"/>
  <c r="N88" i="2" s="1"/>
  <c r="O89" i="2"/>
  <c r="N89" i="2" s="1"/>
  <c r="O90" i="2"/>
  <c r="N90" i="2" s="1"/>
  <c r="O91" i="2"/>
  <c r="N91" i="2" s="1"/>
  <c r="O92" i="2"/>
  <c r="N92" i="2" s="1"/>
  <c r="O93" i="2"/>
  <c r="N93" i="2" s="1"/>
  <c r="O94" i="2"/>
  <c r="N94" i="2" s="1"/>
  <c r="O95" i="2"/>
  <c r="N95" i="2" s="1"/>
  <c r="O97" i="2"/>
  <c r="N97" i="2" s="1"/>
  <c r="O99" i="2"/>
  <c r="N99" i="2" s="1"/>
  <c r="O100" i="2"/>
  <c r="N100" i="2" s="1"/>
  <c r="O111" i="2"/>
  <c r="N111" i="2" s="1"/>
  <c r="O112" i="2"/>
  <c r="N112" i="2" s="1"/>
  <c r="O147" i="2"/>
  <c r="N147" i="2" s="1"/>
  <c r="O148" i="2"/>
  <c r="N148" i="2" s="1"/>
  <c r="O149" i="2"/>
  <c r="N149" i="2" s="1"/>
  <c r="O150" i="2"/>
  <c r="N150" i="2" s="1"/>
  <c r="O151" i="2"/>
  <c r="N151" i="2" s="1"/>
  <c r="O173" i="2"/>
  <c r="N173" i="2" s="1"/>
  <c r="O174" i="2"/>
  <c r="N174" i="2" s="1"/>
  <c r="O187" i="2"/>
  <c r="N187" i="2" s="1"/>
  <c r="O188" i="2"/>
  <c r="N188" i="2" s="1"/>
  <c r="O189" i="2"/>
  <c r="N189" i="2" s="1"/>
  <c r="O190" i="2"/>
  <c r="N190" i="2" s="1"/>
  <c r="O191" i="2"/>
  <c r="N191" i="2" s="1"/>
  <c r="O192" i="2"/>
  <c r="N192" i="2" s="1"/>
  <c r="O212" i="2"/>
  <c r="N212" i="2" s="1"/>
  <c r="O217" i="2"/>
  <c r="N217" i="2" s="1"/>
  <c r="O219" i="2"/>
  <c r="N219" i="2" s="1"/>
  <c r="O257" i="2"/>
  <c r="N257" i="2" s="1"/>
  <c r="O267" i="2"/>
  <c r="N267" i="2" s="1"/>
  <c r="O273" i="2"/>
  <c r="N273" i="2" s="1"/>
  <c r="O160" i="2"/>
  <c r="N160" i="2" s="1"/>
  <c r="O159" i="2"/>
  <c r="N159" i="2" s="1"/>
  <c r="O158" i="2"/>
  <c r="N158" i="2" s="1"/>
  <c r="O157" i="2"/>
  <c r="N157" i="2" s="1"/>
  <c r="O156" i="2"/>
  <c r="N156" i="2" s="1"/>
  <c r="O155" i="2"/>
  <c r="N155" i="2" s="1"/>
  <c r="O154" i="2"/>
  <c r="N154" i="2" s="1"/>
  <c r="O167" i="2"/>
  <c r="N167" i="2" s="1"/>
  <c r="O166" i="2"/>
  <c r="N166" i="2" s="1"/>
  <c r="O165" i="2"/>
  <c r="N165" i="2" s="1"/>
  <c r="O164" i="2"/>
  <c r="N164" i="2" s="1"/>
  <c r="O163" i="2"/>
  <c r="N163" i="2" s="1"/>
  <c r="O162" i="2"/>
  <c r="N162" i="2" s="1"/>
  <c r="O161" i="2"/>
  <c r="N161" i="2" s="1"/>
  <c r="O283" i="2"/>
  <c r="N283" i="2" s="1"/>
  <c r="O284" i="2"/>
  <c r="N284" i="2" s="1"/>
  <c r="O285" i="2"/>
  <c r="N285" i="2" s="1"/>
  <c r="O286" i="2"/>
  <c r="N286" i="2" s="1"/>
  <c r="O287" i="2"/>
  <c r="N287" i="2" s="1"/>
  <c r="O103" i="2"/>
  <c r="N103" i="2" s="1"/>
  <c r="O136" i="2"/>
  <c r="N136" i="2" s="1"/>
  <c r="O137" i="2"/>
  <c r="N137" i="2" s="1"/>
  <c r="O138" i="2"/>
  <c r="N138" i="2" s="1"/>
  <c r="O139" i="2"/>
  <c r="N139" i="2" s="1"/>
  <c r="O140" i="2"/>
  <c r="N140" i="2" s="1"/>
  <c r="O144" i="2"/>
  <c r="N144" i="2" s="1"/>
  <c r="O153" i="2"/>
  <c r="N153" i="2" s="1"/>
  <c r="O177" i="2"/>
  <c r="N177" i="2" s="1"/>
  <c r="O178" i="2"/>
  <c r="N178" i="2" s="1"/>
  <c r="O186" i="2"/>
  <c r="N186" i="2" s="1"/>
  <c r="O196" i="2"/>
  <c r="N196" i="2" s="1"/>
  <c r="O8" i="2"/>
  <c r="N8" i="2" s="1"/>
  <c r="O9" i="2"/>
  <c r="N9" i="2" s="1"/>
  <c r="O15" i="2"/>
  <c r="N15" i="2" s="1"/>
  <c r="O17" i="2"/>
  <c r="N17" i="2" s="1"/>
  <c r="O27" i="2"/>
  <c r="N27" i="2" s="1"/>
  <c r="O28" i="2"/>
  <c r="N28" i="2" s="1"/>
  <c r="O29" i="2"/>
  <c r="N29" i="2" s="1"/>
  <c r="O30" i="2"/>
  <c r="N30" i="2" s="1"/>
  <c r="O31" i="2"/>
  <c r="N31" i="2" s="1"/>
  <c r="O32" i="2"/>
  <c r="N32" i="2" s="1"/>
  <c r="O33" i="2"/>
  <c r="N33" i="2" s="1"/>
  <c r="O41" i="2"/>
  <c r="N41" i="2" s="1"/>
  <c r="O43" i="2"/>
  <c r="N43" i="2" s="1"/>
  <c r="O60" i="2"/>
  <c r="N60" i="2" s="1"/>
  <c r="O61" i="2"/>
  <c r="N61" i="2" s="1"/>
  <c r="O62" i="2"/>
  <c r="N62" i="2" s="1"/>
  <c r="O63" i="2"/>
  <c r="N63" i="2" s="1"/>
  <c r="O64" i="2"/>
  <c r="N64" i="2" s="1"/>
  <c r="O65" i="2"/>
  <c r="N65" i="2" s="1"/>
  <c r="O66" i="2"/>
  <c r="N66" i="2" s="1"/>
  <c r="O67" i="2"/>
  <c r="N67" i="2" s="1"/>
  <c r="O68" i="2"/>
  <c r="N68" i="2" s="1"/>
  <c r="O96" i="2"/>
  <c r="N96" i="2" s="1"/>
  <c r="O135" i="2"/>
  <c r="N135" i="2" s="1"/>
  <c r="O141" i="2"/>
  <c r="N141" i="2" s="1"/>
  <c r="O142" i="2"/>
  <c r="N142" i="2" s="1"/>
  <c r="O143" i="2"/>
  <c r="N143" i="2" s="1"/>
  <c r="O145" i="2"/>
  <c r="N145" i="2" s="1"/>
  <c r="O146" i="2"/>
  <c r="N146" i="2" s="1"/>
  <c r="O152" i="2"/>
  <c r="N152" i="2" s="1"/>
  <c r="O168" i="2"/>
  <c r="N168" i="2" s="1"/>
  <c r="O169" i="2"/>
  <c r="N169" i="2" s="1"/>
  <c r="O170" i="2"/>
  <c r="N170" i="2" s="1"/>
  <c r="O171" i="2"/>
  <c r="N171" i="2" s="1"/>
  <c r="O172" i="2"/>
  <c r="N172" i="2" s="1"/>
  <c r="O175" i="2"/>
  <c r="N175" i="2" s="1"/>
  <c r="O176" i="2"/>
  <c r="N176" i="2" s="1"/>
  <c r="O179" i="2"/>
  <c r="N179" i="2" s="1"/>
  <c r="O180" i="2"/>
  <c r="N180" i="2" s="1"/>
  <c r="O181" i="2"/>
  <c r="N181" i="2" s="1"/>
  <c r="O182" i="2"/>
  <c r="N182" i="2" s="1"/>
  <c r="O183" i="2"/>
  <c r="N183" i="2" s="1"/>
  <c r="O184" i="2"/>
  <c r="N184" i="2" s="1"/>
  <c r="O185" i="2"/>
  <c r="N185" i="2" s="1"/>
  <c r="O193" i="2"/>
  <c r="N193" i="2" s="1"/>
  <c r="O194" i="2"/>
  <c r="N194" i="2" s="1"/>
  <c r="O195" i="2"/>
  <c r="N195" i="2" s="1"/>
  <c r="O205" i="2"/>
  <c r="N205" i="2" s="1"/>
  <c r="O253" i="2"/>
  <c r="N253" i="2" s="1"/>
  <c r="O255" i="2"/>
  <c r="N255" i="2" s="1"/>
  <c r="O109" i="2"/>
  <c r="N109" i="2" s="1"/>
  <c r="O216" i="2"/>
  <c r="N216" i="2" s="1"/>
  <c r="O46" i="2"/>
  <c r="N46" i="2" s="1"/>
  <c r="O49" i="2"/>
  <c r="N49" i="2" s="1"/>
  <c r="O50" i="2"/>
  <c r="N50" i="2" s="1"/>
  <c r="O55" i="2"/>
  <c r="N55" i="2" s="1"/>
  <c r="O105" i="2"/>
  <c r="N105" i="2" s="1"/>
  <c r="O110" i="2"/>
  <c r="N110" i="2" s="1"/>
  <c r="O204" i="2"/>
  <c r="N204" i="2" s="1"/>
  <c r="O251" i="2"/>
  <c r="N251" i="2" s="1"/>
  <c r="O56" i="2"/>
  <c r="N56" i="2" s="1"/>
  <c r="O58" i="2"/>
  <c r="N58" i="2" s="1"/>
  <c r="O104" i="2"/>
  <c r="N104" i="2" s="1"/>
  <c r="O106" i="2"/>
  <c r="N106" i="2" s="1"/>
  <c r="O107" i="2"/>
  <c r="N107" i="2" s="1"/>
  <c r="O108" i="2"/>
  <c r="N108" i="2" s="1"/>
  <c r="O120" i="2"/>
  <c r="N120" i="2" s="1"/>
  <c r="O121" i="2"/>
  <c r="N121" i="2" s="1"/>
  <c r="O123" i="2"/>
  <c r="N123" i="2" s="1"/>
  <c r="O124" i="2"/>
  <c r="N124" i="2" s="1"/>
  <c r="O125" i="2"/>
  <c r="N125" i="2" s="1"/>
  <c r="O126" i="2"/>
  <c r="N126" i="2" s="1"/>
  <c r="O127" i="2"/>
  <c r="N127" i="2" s="1"/>
  <c r="O128" i="2"/>
  <c r="N128" i="2" s="1"/>
  <c r="O129" i="2"/>
  <c r="N129" i="2" s="1"/>
  <c r="O130" i="2"/>
  <c r="N130" i="2" s="1"/>
  <c r="O131" i="2"/>
  <c r="N131" i="2" s="1"/>
  <c r="O132" i="2"/>
  <c r="N132" i="2" s="1"/>
  <c r="O133" i="2"/>
  <c r="N133" i="2" s="1"/>
  <c r="O197" i="2"/>
  <c r="N197" i="2" s="1"/>
  <c r="O198" i="2"/>
  <c r="N198" i="2" s="1"/>
  <c r="O206" i="2"/>
  <c r="N206" i="2" s="1"/>
  <c r="O207" i="2"/>
  <c r="N207" i="2" s="1"/>
  <c r="O215" i="2"/>
  <c r="N215" i="2" s="1"/>
  <c r="O238" i="2"/>
  <c r="N238" i="2" s="1"/>
  <c r="O239" i="2"/>
  <c r="N239" i="2" s="1"/>
  <c r="O240" i="2"/>
  <c r="N240" i="2" s="1"/>
  <c r="O241" i="2"/>
  <c r="N241" i="2" s="1"/>
  <c r="O242" i="2"/>
  <c r="N242" i="2" s="1"/>
  <c r="O243" i="2"/>
  <c r="N243" i="2" s="1"/>
  <c r="O244" i="2"/>
  <c r="N244" i="2" s="1"/>
  <c r="O245" i="2"/>
  <c r="N245" i="2" s="1"/>
  <c r="O246" i="2"/>
  <c r="N246" i="2" s="1"/>
  <c r="O247" i="2"/>
  <c r="N247" i="2" s="1"/>
  <c r="O249" i="2"/>
  <c r="N249" i="2" s="1"/>
  <c r="O250" i="2"/>
  <c r="N250" i="2" s="1"/>
  <c r="O259" i="2"/>
  <c r="N259" i="2" s="1"/>
  <c r="O260" i="2"/>
  <c r="N260" i="2" s="1"/>
  <c r="O261" i="2"/>
  <c r="N261" i="2" s="1"/>
  <c r="O262" i="2"/>
  <c r="N262" i="2" s="1"/>
  <c r="O265" i="2"/>
  <c r="N265" i="2" s="1"/>
  <c r="O271" i="2"/>
  <c r="N271" i="2" s="1"/>
  <c r="O274" i="2"/>
  <c r="N274" i="2" s="1"/>
  <c r="O275" i="2"/>
  <c r="N275" i="2" s="1"/>
  <c r="O280" i="2"/>
  <c r="N280" i="2" s="1"/>
  <c r="O10" i="2"/>
  <c r="N10" i="2" s="1"/>
  <c r="O11" i="2"/>
  <c r="N11" i="2" s="1"/>
  <c r="O12" i="2"/>
  <c r="N12" i="2" s="1"/>
  <c r="O14" i="2"/>
  <c r="N14" i="2" s="1"/>
  <c r="O16" i="2"/>
  <c r="N16" i="2" s="1"/>
  <c r="O38" i="2"/>
  <c r="N38" i="2" s="1"/>
  <c r="O39" i="2"/>
  <c r="N39" i="2" s="1"/>
  <c r="O40" i="2"/>
  <c r="N40" i="2" s="1"/>
  <c r="O42" i="2"/>
  <c r="N42" i="2" s="1"/>
  <c r="O45" i="2"/>
  <c r="N45" i="2" s="1"/>
  <c r="O47" i="2"/>
  <c r="N47" i="2" s="1"/>
  <c r="O48" i="2"/>
  <c r="N48" i="2" s="1"/>
  <c r="O51" i="2"/>
  <c r="N51" i="2" s="1"/>
  <c r="O52" i="2"/>
  <c r="N52" i="2" s="1"/>
  <c r="O57" i="2"/>
  <c r="N57" i="2" s="1"/>
  <c r="O69" i="2"/>
  <c r="N69" i="2" s="1"/>
  <c r="O70" i="2"/>
  <c r="N70" i="2" s="1"/>
  <c r="O71" i="2"/>
  <c r="N71" i="2" s="1"/>
  <c r="O73" i="2"/>
  <c r="N73" i="2" s="1"/>
  <c r="O74" i="2"/>
  <c r="N74" i="2" s="1"/>
  <c r="O76" i="2"/>
  <c r="N76" i="2" s="1"/>
  <c r="O82" i="2"/>
  <c r="N82" i="2" s="1"/>
  <c r="O98" i="2"/>
  <c r="N98" i="2" s="1"/>
  <c r="O101" i="2"/>
  <c r="N101" i="2" s="1"/>
  <c r="O119" i="2"/>
  <c r="N119" i="2" s="1"/>
  <c r="O134" i="2"/>
  <c r="N134" i="2" s="1"/>
  <c r="O201" i="2"/>
  <c r="N201" i="2" s="1"/>
  <c r="O200" i="2"/>
  <c r="N200" i="2" s="1"/>
  <c r="O203" i="2"/>
  <c r="N203" i="2" s="1"/>
  <c r="O208" i="2"/>
  <c r="N208" i="2" s="1"/>
  <c r="O209" i="2"/>
  <c r="N209" i="2" s="1"/>
  <c r="O210" i="2"/>
  <c r="N210" i="2" s="1"/>
  <c r="O211" i="2"/>
  <c r="N211" i="2" s="1"/>
  <c r="O218" i="2"/>
  <c r="N218" i="2" s="1"/>
  <c r="O220" i="2"/>
  <c r="N220" i="2" s="1"/>
  <c r="O248" i="2"/>
  <c r="N248" i="2" s="1"/>
  <c r="O252" i="2"/>
  <c r="N252" i="2" s="1"/>
  <c r="O254" i="2"/>
  <c r="N254" i="2" s="1"/>
  <c r="O264" i="2"/>
  <c r="N264" i="2" s="1"/>
  <c r="O266" i="2"/>
  <c r="N266" i="2" s="1"/>
  <c r="O268" i="2"/>
  <c r="N268" i="2" s="1"/>
  <c r="O269" i="2"/>
  <c r="N269" i="2" s="1"/>
  <c r="O272" i="2"/>
  <c r="N272" i="2" s="1"/>
  <c r="O277" i="2"/>
  <c r="N277" i="2" s="1"/>
  <c r="O278" i="2"/>
  <c r="N278" i="2" s="1"/>
  <c r="O281" i="2"/>
  <c r="N281" i="2" s="1"/>
  <c r="O282" i="2"/>
  <c r="N282" i="2" s="1"/>
  <c r="O270" i="2"/>
  <c r="N270" i="2" s="1"/>
  <c r="O78" i="2"/>
  <c r="N78" i="2" s="1"/>
  <c r="AF79" i="2"/>
  <c r="AE79" i="2" s="1"/>
  <c r="AD79" i="2"/>
  <c r="AC79" i="2" s="1"/>
  <c r="AF83" i="2"/>
  <c r="AE83" i="2" s="1"/>
  <c r="AD83" i="2"/>
  <c r="AC83" i="2" s="1"/>
  <c r="AF221" i="2"/>
  <c r="AE221" i="2" s="1"/>
  <c r="AD221" i="2"/>
  <c r="AC221" i="2" s="1"/>
  <c r="AF225" i="2"/>
  <c r="AE225" i="2" s="1"/>
  <c r="AD225" i="2"/>
  <c r="AC225" i="2" s="1"/>
  <c r="AF224" i="2"/>
  <c r="AE224" i="2" s="1"/>
  <c r="AD224" i="2"/>
  <c r="AC224" i="2" s="1"/>
  <c r="AF228" i="2"/>
  <c r="AE228" i="2" s="1"/>
  <c r="AD228" i="2"/>
  <c r="AC228" i="2" s="1"/>
  <c r="AF229" i="2"/>
  <c r="AE229" i="2" s="1"/>
  <c r="AD229" i="2"/>
  <c r="AC229" i="2" s="1"/>
  <c r="AF230" i="2"/>
  <c r="AE230" i="2" s="1"/>
  <c r="AD230" i="2"/>
  <c r="AC230" i="2" s="1"/>
  <c r="AF231" i="2"/>
  <c r="AE231" i="2" s="1"/>
  <c r="AD231" i="2"/>
  <c r="AC231" i="2" s="1"/>
  <c r="AF232" i="2"/>
  <c r="AE232" i="2" s="1"/>
  <c r="AD232" i="2"/>
  <c r="AC232" i="2" s="1"/>
  <c r="AF233" i="2"/>
  <c r="AE233" i="2" s="1"/>
  <c r="AD233" i="2"/>
  <c r="AC233" i="2" s="1"/>
  <c r="AF234" i="2"/>
  <c r="AE234" i="2" s="1"/>
  <c r="AD234" i="2"/>
  <c r="AC234" i="2" s="1"/>
  <c r="AF235" i="2"/>
  <c r="AE235" i="2" s="1"/>
  <c r="AD235" i="2"/>
  <c r="AC235" i="2" s="1"/>
  <c r="AF236" i="2"/>
  <c r="AE236" i="2" s="1"/>
  <c r="AD236" i="2"/>
  <c r="AC236" i="2" s="1"/>
  <c r="AF237" i="2"/>
  <c r="AE237" i="2" s="1"/>
  <c r="AD237" i="2"/>
  <c r="AC237" i="2" s="1"/>
  <c r="AF223" i="2"/>
  <c r="AE223" i="2" s="1"/>
  <c r="AD223" i="2"/>
  <c r="AC223" i="2" s="1"/>
  <c r="AF222" i="2"/>
  <c r="AE222" i="2" s="1"/>
  <c r="AD222" i="2"/>
  <c r="AC222" i="2" s="1"/>
  <c r="AF227" i="2"/>
  <c r="AE227" i="2" s="1"/>
  <c r="AD227" i="2"/>
  <c r="AC227" i="2" s="1"/>
  <c r="AF226" i="2"/>
  <c r="AE226" i="2" s="1"/>
  <c r="AD226" i="2"/>
  <c r="AC226" i="2" s="1"/>
  <c r="AF102" i="2"/>
  <c r="AE102" i="2" s="1"/>
  <c r="AD102" i="2"/>
  <c r="AC102" i="2" s="1"/>
  <c r="AD113" i="2"/>
  <c r="AC113" i="2" s="1"/>
  <c r="AF114" i="2"/>
  <c r="AE114" i="2" s="1"/>
  <c r="AD114" i="2"/>
  <c r="AC114" i="2" s="1"/>
  <c r="AF115" i="2"/>
  <c r="AE115" i="2" s="1"/>
  <c r="AD115" i="2"/>
  <c r="AC115" i="2" s="1"/>
  <c r="AF116" i="2"/>
  <c r="AE116" i="2" s="1"/>
  <c r="AD116" i="2"/>
  <c r="AC116" i="2" s="1"/>
  <c r="AF117" i="2"/>
  <c r="AE117" i="2" s="1"/>
  <c r="AD117" i="2"/>
  <c r="AC117" i="2" s="1"/>
  <c r="AF118" i="2"/>
  <c r="AE118" i="2" s="1"/>
  <c r="AD118" i="2"/>
  <c r="AC118" i="2" s="1"/>
  <c r="AF122" i="2"/>
  <c r="AE122" i="2" s="1"/>
  <c r="AD122" i="2"/>
  <c r="AC122" i="2" s="1"/>
  <c r="AF199" i="2"/>
  <c r="AE199" i="2" s="1"/>
  <c r="AD199" i="2"/>
  <c r="AC199" i="2" s="1"/>
  <c r="AF213" i="2"/>
  <c r="AE213" i="2" s="1"/>
  <c r="AD213" i="2"/>
  <c r="AC213" i="2" s="1"/>
  <c r="AF258" i="2"/>
  <c r="AE258" i="2" s="1"/>
  <c r="AD258" i="2"/>
  <c r="AC258" i="2" s="1"/>
  <c r="AF34" i="2"/>
  <c r="AE34" i="2" s="1"/>
  <c r="AF36" i="2"/>
  <c r="AE36" i="2" s="1"/>
  <c r="AF44" i="2"/>
  <c r="AE44" i="2" s="1"/>
  <c r="AD44" i="2"/>
  <c r="AC44" i="2" s="1"/>
  <c r="AF59" i="2"/>
  <c r="AE59" i="2" s="1"/>
  <c r="AF75" i="2"/>
  <c r="AE75" i="2" s="1"/>
  <c r="AF81" i="2"/>
  <c r="AE81" i="2" s="1"/>
  <c r="AD81" i="2"/>
  <c r="AC81" i="2" s="1"/>
  <c r="AF84" i="2"/>
  <c r="AE84" i="2" s="1"/>
  <c r="AD84" i="2"/>
  <c r="AC84" i="2" s="1"/>
  <c r="AF85" i="2"/>
  <c r="AE85" i="2" s="1"/>
  <c r="AD85" i="2"/>
  <c r="AC85" i="2" s="1"/>
  <c r="AF86" i="2"/>
  <c r="AE86" i="2" s="1"/>
  <c r="AD86" i="2"/>
  <c r="AC86" i="2" s="1"/>
  <c r="AF87" i="2"/>
  <c r="AE87" i="2" s="1"/>
  <c r="AD87" i="2"/>
  <c r="AC87" i="2" s="1"/>
  <c r="AF88" i="2"/>
  <c r="AE88" i="2" s="1"/>
  <c r="AD88" i="2"/>
  <c r="AC88" i="2" s="1"/>
  <c r="AF89" i="2"/>
  <c r="AE89" i="2" s="1"/>
  <c r="AD89" i="2"/>
  <c r="AC89" i="2" s="1"/>
  <c r="AF90" i="2"/>
  <c r="AE90" i="2" s="1"/>
  <c r="AD90" i="2"/>
  <c r="AC90" i="2" s="1"/>
  <c r="AF91" i="2"/>
  <c r="AE91" i="2" s="1"/>
  <c r="AD91" i="2"/>
  <c r="AC91" i="2" s="1"/>
  <c r="AF92" i="2"/>
  <c r="AE92" i="2" s="1"/>
  <c r="AD92" i="2"/>
  <c r="AC92" i="2" s="1"/>
  <c r="AF93" i="2"/>
  <c r="AE93" i="2" s="1"/>
  <c r="AD93" i="2"/>
  <c r="AC93" i="2" s="1"/>
  <c r="AF94" i="2"/>
  <c r="AE94" i="2" s="1"/>
  <c r="AD94" i="2"/>
  <c r="AC94" i="2" s="1"/>
  <c r="AF95" i="2"/>
  <c r="AE95" i="2" s="1"/>
  <c r="AD95" i="2"/>
  <c r="AC95" i="2" s="1"/>
  <c r="AF97" i="2"/>
  <c r="AE97" i="2" s="1"/>
  <c r="AD97" i="2"/>
  <c r="AC97" i="2" s="1"/>
  <c r="AF100" i="2"/>
  <c r="AE100" i="2" s="1"/>
  <c r="AD100" i="2"/>
  <c r="AC100" i="2" s="1"/>
  <c r="AF111" i="2"/>
  <c r="AE111" i="2" s="1"/>
  <c r="AD111" i="2"/>
  <c r="AC111" i="2" s="1"/>
  <c r="AF112" i="2"/>
  <c r="AE112" i="2" s="1"/>
  <c r="AD112" i="2"/>
  <c r="AC112" i="2" s="1"/>
  <c r="AF147" i="2"/>
  <c r="AE147" i="2" s="1"/>
  <c r="AD147" i="2"/>
  <c r="AC147" i="2" s="1"/>
  <c r="AF149" i="2"/>
  <c r="AE149" i="2" s="1"/>
  <c r="AD149" i="2"/>
  <c r="AC149" i="2" s="1"/>
  <c r="AF150" i="2"/>
  <c r="AE150" i="2" s="1"/>
  <c r="AD150" i="2"/>
  <c r="AC150" i="2" s="1"/>
  <c r="AF151" i="2"/>
  <c r="AE151" i="2" s="1"/>
  <c r="AD151" i="2"/>
  <c r="AC151" i="2" s="1"/>
  <c r="AF173" i="2"/>
  <c r="AE173" i="2" s="1"/>
  <c r="AD173" i="2"/>
  <c r="AC173" i="2" s="1"/>
  <c r="AF174" i="2"/>
  <c r="AE174" i="2" s="1"/>
  <c r="AD174" i="2"/>
  <c r="AC174" i="2" s="1"/>
  <c r="AF188" i="2"/>
  <c r="AE188" i="2" s="1"/>
  <c r="AD188" i="2"/>
  <c r="AC188" i="2" s="1"/>
  <c r="AF189" i="2"/>
  <c r="AE189" i="2" s="1"/>
  <c r="AD189" i="2"/>
  <c r="AC189" i="2" s="1"/>
  <c r="AF190" i="2"/>
  <c r="AE190" i="2" s="1"/>
  <c r="AD190" i="2"/>
  <c r="AC190" i="2" s="1"/>
  <c r="AF191" i="2"/>
  <c r="AE191" i="2" s="1"/>
  <c r="AD191" i="2"/>
  <c r="AC191" i="2" s="1"/>
  <c r="AF192" i="2"/>
  <c r="AE192" i="2" s="1"/>
  <c r="AD192" i="2"/>
  <c r="AC192" i="2" s="1"/>
  <c r="AF212" i="2"/>
  <c r="AE212" i="2" s="1"/>
  <c r="AD212" i="2"/>
  <c r="AC212" i="2" s="1"/>
  <c r="AF217" i="2"/>
  <c r="AE217" i="2" s="1"/>
  <c r="AD217" i="2"/>
  <c r="AC217" i="2" s="1"/>
  <c r="AF219" i="2"/>
  <c r="AE219" i="2" s="1"/>
  <c r="AF257" i="2"/>
  <c r="AE257" i="2" s="1"/>
  <c r="AD257" i="2"/>
  <c r="AC257" i="2" s="1"/>
  <c r="AF267" i="2"/>
  <c r="AE267" i="2" s="1"/>
  <c r="AD267" i="2"/>
  <c r="AC267" i="2" s="1"/>
  <c r="AF273" i="2"/>
  <c r="AE273" i="2" s="1"/>
  <c r="AD273" i="2"/>
  <c r="AC273" i="2" s="1"/>
  <c r="AF160" i="2"/>
  <c r="AE160" i="2" s="1"/>
  <c r="AD160" i="2"/>
  <c r="AC160" i="2" s="1"/>
  <c r="AF159" i="2"/>
  <c r="AE159" i="2" s="1"/>
  <c r="AD159" i="2"/>
  <c r="AC159" i="2" s="1"/>
  <c r="AF158" i="2"/>
  <c r="AE158" i="2" s="1"/>
  <c r="AD158" i="2"/>
  <c r="AC158" i="2" s="1"/>
  <c r="AF157" i="2"/>
  <c r="AE157" i="2" s="1"/>
  <c r="AD157" i="2"/>
  <c r="AC157" i="2" s="1"/>
  <c r="AF156" i="2"/>
  <c r="AE156" i="2" s="1"/>
  <c r="AD156" i="2"/>
  <c r="AC156" i="2" s="1"/>
  <c r="AF155" i="2"/>
  <c r="AE155" i="2" s="1"/>
  <c r="AD155" i="2"/>
  <c r="AC155" i="2" s="1"/>
  <c r="AF154" i="2"/>
  <c r="AE154" i="2" s="1"/>
  <c r="AD154" i="2"/>
  <c r="AC154" i="2" s="1"/>
  <c r="AF167" i="2"/>
  <c r="AE167" i="2" s="1"/>
  <c r="AD167" i="2"/>
  <c r="AC167" i="2" s="1"/>
  <c r="AF166" i="2"/>
  <c r="AE166" i="2" s="1"/>
  <c r="AD166" i="2"/>
  <c r="AC166" i="2" s="1"/>
  <c r="AF165" i="2"/>
  <c r="AE165" i="2" s="1"/>
  <c r="AD165" i="2"/>
  <c r="AF164" i="2"/>
  <c r="AE164" i="2" s="1"/>
  <c r="AD164" i="2"/>
  <c r="AC164" i="2" s="1"/>
  <c r="AF163" i="2"/>
  <c r="AE163" i="2" s="1"/>
  <c r="AD163" i="2"/>
  <c r="AC163" i="2" s="1"/>
  <c r="AF162" i="2"/>
  <c r="AE162" i="2" s="1"/>
  <c r="AD162" i="2"/>
  <c r="AC162" i="2" s="1"/>
  <c r="AF161" i="2"/>
  <c r="AE161" i="2" s="1"/>
  <c r="AD161" i="2"/>
  <c r="AC161" i="2" s="1"/>
  <c r="AF283" i="2"/>
  <c r="AE283" i="2" s="1"/>
  <c r="AD283" i="2"/>
  <c r="AC283" i="2" s="1"/>
  <c r="AF284" i="2"/>
  <c r="AE284" i="2" s="1"/>
  <c r="AD284" i="2"/>
  <c r="AC284" i="2" s="1"/>
  <c r="AF285" i="2"/>
  <c r="AE285" i="2" s="1"/>
  <c r="AD285" i="2"/>
  <c r="AC285" i="2" s="1"/>
  <c r="AF286" i="2"/>
  <c r="AE286" i="2" s="1"/>
  <c r="AD286" i="2"/>
  <c r="AC286" i="2" s="1"/>
  <c r="AF287" i="2"/>
  <c r="AE287" i="2" s="1"/>
  <c r="AD287" i="2"/>
  <c r="AC287" i="2" s="1"/>
  <c r="AF103" i="2"/>
  <c r="AE103" i="2" s="1"/>
  <c r="AD103" i="2"/>
  <c r="AC103" i="2" s="1"/>
  <c r="AF136" i="2"/>
  <c r="AE136" i="2" s="1"/>
  <c r="AD136" i="2"/>
  <c r="AC136" i="2" s="1"/>
  <c r="AF137" i="2"/>
  <c r="AE137" i="2" s="1"/>
  <c r="AD137" i="2"/>
  <c r="AC137" i="2" s="1"/>
  <c r="AF138" i="2"/>
  <c r="AE138" i="2" s="1"/>
  <c r="AD138" i="2"/>
  <c r="AC138" i="2" s="1"/>
  <c r="AF139" i="2"/>
  <c r="AE139" i="2" s="1"/>
  <c r="AD139" i="2"/>
  <c r="AC139" i="2" s="1"/>
  <c r="AF140" i="2"/>
  <c r="AE140" i="2" s="1"/>
  <c r="AD140" i="2"/>
  <c r="AC140" i="2" s="1"/>
  <c r="AF144" i="2"/>
  <c r="AE144" i="2" s="1"/>
  <c r="AD144" i="2"/>
  <c r="AC144" i="2" s="1"/>
  <c r="AF153" i="2"/>
  <c r="AE153" i="2" s="1"/>
  <c r="AD153" i="2"/>
  <c r="AC153" i="2" s="1"/>
  <c r="AF177" i="2"/>
  <c r="AE177" i="2" s="1"/>
  <c r="AD177" i="2"/>
  <c r="AC177" i="2" s="1"/>
  <c r="AF178" i="2"/>
  <c r="AE178" i="2" s="1"/>
  <c r="AD178" i="2"/>
  <c r="AC178" i="2" s="1"/>
  <c r="AF186" i="2"/>
  <c r="AE186" i="2" s="1"/>
  <c r="AD186" i="2"/>
  <c r="AC186" i="2" s="1"/>
  <c r="AF196" i="2"/>
  <c r="AE196" i="2" s="1"/>
  <c r="AD196" i="2"/>
  <c r="AC196" i="2" s="1"/>
  <c r="AF8" i="2"/>
  <c r="AE8" i="2" s="1"/>
  <c r="AD8" i="2"/>
  <c r="AC8" i="2" s="1"/>
  <c r="AF9" i="2"/>
  <c r="AE9" i="2" s="1"/>
  <c r="AD9" i="2"/>
  <c r="AC9" i="2" s="1"/>
  <c r="AF15" i="2"/>
  <c r="AE15" i="2" s="1"/>
  <c r="AD15" i="2"/>
  <c r="AC15" i="2" s="1"/>
  <c r="AF17" i="2"/>
  <c r="AE17" i="2" s="1"/>
  <c r="AD17" i="2"/>
  <c r="AC17" i="2" s="1"/>
  <c r="AF27" i="2"/>
  <c r="AE27" i="2" s="1"/>
  <c r="AD27" i="2"/>
  <c r="AC27" i="2" s="1"/>
  <c r="AF28" i="2"/>
  <c r="AE28" i="2" s="1"/>
  <c r="AD28" i="2"/>
  <c r="AC28" i="2" s="1"/>
  <c r="AF29" i="2"/>
  <c r="AE29" i="2" s="1"/>
  <c r="AD29" i="2"/>
  <c r="AC29" i="2" s="1"/>
  <c r="AF30" i="2"/>
  <c r="AE30" i="2" s="1"/>
  <c r="AD30" i="2"/>
  <c r="AC30" i="2" s="1"/>
  <c r="AF31" i="2"/>
  <c r="AE31" i="2" s="1"/>
  <c r="AD31" i="2"/>
  <c r="AC31" i="2" s="1"/>
  <c r="AF32" i="2"/>
  <c r="AE32" i="2" s="1"/>
  <c r="AD32" i="2"/>
  <c r="AC32" i="2" s="1"/>
  <c r="AF33" i="2"/>
  <c r="AE33" i="2" s="1"/>
  <c r="AD33" i="2"/>
  <c r="AC33" i="2" s="1"/>
  <c r="AF41" i="2"/>
  <c r="AE41" i="2" s="1"/>
  <c r="AD41" i="2"/>
  <c r="AC41" i="2" s="1"/>
  <c r="AF43" i="2"/>
  <c r="AE43" i="2" s="1"/>
  <c r="AD43" i="2"/>
  <c r="AC43" i="2" s="1"/>
  <c r="AF60" i="2"/>
  <c r="AE60" i="2" s="1"/>
  <c r="AD60" i="2"/>
  <c r="AC60" i="2" s="1"/>
  <c r="AF61" i="2"/>
  <c r="AE61" i="2" s="1"/>
  <c r="AD61" i="2"/>
  <c r="AC61" i="2" s="1"/>
  <c r="AF62" i="2"/>
  <c r="AE62" i="2" s="1"/>
  <c r="AD62" i="2"/>
  <c r="AC62" i="2" s="1"/>
  <c r="AF63" i="2"/>
  <c r="AE63" i="2" s="1"/>
  <c r="AD63" i="2"/>
  <c r="AC63" i="2" s="1"/>
  <c r="AF64" i="2"/>
  <c r="AE64" i="2" s="1"/>
  <c r="AD64" i="2"/>
  <c r="AC64" i="2" s="1"/>
  <c r="AF65" i="2"/>
  <c r="AE65" i="2" s="1"/>
  <c r="AD65" i="2"/>
  <c r="AC65" i="2" s="1"/>
  <c r="AF66" i="2"/>
  <c r="AE66" i="2" s="1"/>
  <c r="AD66" i="2"/>
  <c r="AC66" i="2" s="1"/>
  <c r="AF67" i="2"/>
  <c r="AE67" i="2" s="1"/>
  <c r="AD67" i="2"/>
  <c r="AC67" i="2" s="1"/>
  <c r="AF68" i="2"/>
  <c r="AE68" i="2" s="1"/>
  <c r="AD68" i="2"/>
  <c r="AC68" i="2" s="1"/>
  <c r="AF96" i="2"/>
  <c r="AE96" i="2" s="1"/>
  <c r="AD96" i="2"/>
  <c r="AC96" i="2" s="1"/>
  <c r="AF135" i="2"/>
  <c r="AE135" i="2" s="1"/>
  <c r="AD135" i="2"/>
  <c r="AC135" i="2" s="1"/>
  <c r="AF141" i="2"/>
  <c r="AE141" i="2" s="1"/>
  <c r="AD141" i="2"/>
  <c r="AC141" i="2" s="1"/>
  <c r="AF142" i="2"/>
  <c r="AE142" i="2" s="1"/>
  <c r="AD142" i="2"/>
  <c r="AC142" i="2" s="1"/>
  <c r="AF143" i="2"/>
  <c r="AE143" i="2" s="1"/>
  <c r="AD143" i="2"/>
  <c r="AC143" i="2" s="1"/>
  <c r="AF145" i="2"/>
  <c r="AE145" i="2" s="1"/>
  <c r="AD145" i="2"/>
  <c r="AC145" i="2" s="1"/>
  <c r="AF146" i="2"/>
  <c r="AE146" i="2" s="1"/>
  <c r="AD146" i="2"/>
  <c r="AC146" i="2" s="1"/>
  <c r="AF152" i="2"/>
  <c r="AE152" i="2" s="1"/>
  <c r="AD152" i="2"/>
  <c r="AC152" i="2" s="1"/>
  <c r="AF168" i="2"/>
  <c r="AE168" i="2" s="1"/>
  <c r="AD168" i="2"/>
  <c r="AC168" i="2" s="1"/>
  <c r="AF169" i="2"/>
  <c r="AE169" i="2" s="1"/>
  <c r="AD169" i="2"/>
  <c r="AC169" i="2" s="1"/>
  <c r="AF170" i="2"/>
  <c r="AE170" i="2" s="1"/>
  <c r="AD170" i="2"/>
  <c r="AC170" i="2" s="1"/>
  <c r="AF171" i="2"/>
  <c r="AE171" i="2" s="1"/>
  <c r="AD171" i="2"/>
  <c r="AC171" i="2" s="1"/>
  <c r="AF172" i="2"/>
  <c r="AE172" i="2" s="1"/>
  <c r="AD172" i="2"/>
  <c r="AC172" i="2" s="1"/>
  <c r="AF175" i="2"/>
  <c r="AE175" i="2" s="1"/>
  <c r="AD175" i="2"/>
  <c r="AC175" i="2" s="1"/>
  <c r="AF176" i="2"/>
  <c r="AE176" i="2" s="1"/>
  <c r="AD176" i="2"/>
  <c r="AC176" i="2" s="1"/>
  <c r="AF179" i="2"/>
  <c r="AE179" i="2" s="1"/>
  <c r="AD179" i="2"/>
  <c r="AC179" i="2" s="1"/>
  <c r="AF180" i="2"/>
  <c r="AE180" i="2" s="1"/>
  <c r="AD180" i="2"/>
  <c r="AC180" i="2" s="1"/>
  <c r="AF181" i="2"/>
  <c r="AE181" i="2" s="1"/>
  <c r="AD181" i="2"/>
  <c r="AC181" i="2" s="1"/>
  <c r="AF182" i="2"/>
  <c r="AE182" i="2" s="1"/>
  <c r="AD182" i="2"/>
  <c r="AC182" i="2" s="1"/>
  <c r="AF183" i="2"/>
  <c r="AE183" i="2" s="1"/>
  <c r="AD183" i="2"/>
  <c r="AC183" i="2" s="1"/>
  <c r="AF184" i="2"/>
  <c r="AE184" i="2" s="1"/>
  <c r="AD184" i="2"/>
  <c r="AC184" i="2" s="1"/>
  <c r="AF185" i="2"/>
  <c r="AE185" i="2" s="1"/>
  <c r="AD185" i="2"/>
  <c r="AC185" i="2" s="1"/>
  <c r="AF193" i="2"/>
  <c r="AE193" i="2" s="1"/>
  <c r="AD193" i="2"/>
  <c r="AC193" i="2" s="1"/>
  <c r="AF194" i="2"/>
  <c r="AE194" i="2" s="1"/>
  <c r="AD194" i="2"/>
  <c r="AC194" i="2" s="1"/>
  <c r="AF195" i="2"/>
  <c r="AE195" i="2" s="1"/>
  <c r="AD195" i="2"/>
  <c r="AC195" i="2" s="1"/>
  <c r="AF205" i="2"/>
  <c r="AE205" i="2" s="1"/>
  <c r="AD205" i="2"/>
  <c r="AC205" i="2" s="1"/>
  <c r="AF253" i="2"/>
  <c r="AE253" i="2" s="1"/>
  <c r="AD253" i="2"/>
  <c r="AC253" i="2" s="1"/>
  <c r="AF255" i="2"/>
  <c r="AE255" i="2" s="1"/>
  <c r="AD255" i="2"/>
  <c r="AC255" i="2" s="1"/>
  <c r="AF109" i="2"/>
  <c r="AE109" i="2" s="1"/>
  <c r="AD109" i="2"/>
  <c r="AC109" i="2" s="1"/>
  <c r="AF216" i="2"/>
  <c r="AE216" i="2" s="1"/>
  <c r="AD216" i="2"/>
  <c r="AC216" i="2" s="1"/>
  <c r="AF46" i="2"/>
  <c r="AE46" i="2" s="1"/>
  <c r="AD46" i="2"/>
  <c r="AC46" i="2" s="1"/>
  <c r="AF49" i="2"/>
  <c r="AE49" i="2" s="1"/>
  <c r="AD49" i="2"/>
  <c r="AC49" i="2" s="1"/>
  <c r="AF50" i="2"/>
  <c r="AE50" i="2" s="1"/>
  <c r="AD50" i="2"/>
  <c r="AC50" i="2" s="1"/>
  <c r="AF55" i="2"/>
  <c r="AE55" i="2" s="1"/>
  <c r="AD55" i="2"/>
  <c r="AC55" i="2" s="1"/>
  <c r="AF105" i="2"/>
  <c r="AE105" i="2" s="1"/>
  <c r="AD105" i="2"/>
  <c r="AC105" i="2" s="1"/>
  <c r="AF110" i="2"/>
  <c r="AE110" i="2" s="1"/>
  <c r="AD110" i="2"/>
  <c r="AC110" i="2" s="1"/>
  <c r="AF204" i="2"/>
  <c r="AE204" i="2" s="1"/>
  <c r="AD204" i="2"/>
  <c r="AC204" i="2" s="1"/>
  <c r="AF251" i="2"/>
  <c r="AE251" i="2" s="1"/>
  <c r="AD251" i="2"/>
  <c r="AC251" i="2" s="1"/>
  <c r="AF56" i="2"/>
  <c r="AE56" i="2" s="1"/>
  <c r="AD56" i="2"/>
  <c r="AC56" i="2" s="1"/>
  <c r="AF58" i="2"/>
  <c r="AE58" i="2" s="1"/>
  <c r="AD58" i="2"/>
  <c r="AC58" i="2" s="1"/>
  <c r="AF104" i="2"/>
  <c r="AE104" i="2" s="1"/>
  <c r="AD104" i="2"/>
  <c r="AC104" i="2" s="1"/>
  <c r="AF106" i="2"/>
  <c r="AE106" i="2" s="1"/>
  <c r="AD106" i="2"/>
  <c r="AC106" i="2" s="1"/>
  <c r="AF107" i="2"/>
  <c r="AE107" i="2" s="1"/>
  <c r="AD107" i="2"/>
  <c r="AC107" i="2" s="1"/>
  <c r="AF108" i="2"/>
  <c r="AE108" i="2" s="1"/>
  <c r="AD108" i="2"/>
  <c r="AC108" i="2" s="1"/>
  <c r="AF120" i="2"/>
  <c r="AE120" i="2" s="1"/>
  <c r="AD120" i="2"/>
  <c r="AC120" i="2" s="1"/>
  <c r="AF121" i="2"/>
  <c r="AE121" i="2" s="1"/>
  <c r="AD121" i="2"/>
  <c r="AC121" i="2" s="1"/>
  <c r="AF123" i="2"/>
  <c r="AE123" i="2" s="1"/>
  <c r="AD123" i="2"/>
  <c r="AC123" i="2" s="1"/>
  <c r="AF124" i="2"/>
  <c r="AE124" i="2" s="1"/>
  <c r="AD124" i="2"/>
  <c r="AC124" i="2" s="1"/>
  <c r="AF125" i="2"/>
  <c r="AE125" i="2" s="1"/>
  <c r="AD125" i="2"/>
  <c r="AC125" i="2" s="1"/>
  <c r="AF126" i="2"/>
  <c r="AE126" i="2" s="1"/>
  <c r="AD126" i="2"/>
  <c r="AC126" i="2" s="1"/>
  <c r="AF127" i="2"/>
  <c r="AE127" i="2" s="1"/>
  <c r="AD127" i="2"/>
  <c r="AC127" i="2" s="1"/>
  <c r="AF128" i="2"/>
  <c r="AE128" i="2" s="1"/>
  <c r="AD128" i="2"/>
  <c r="AC128" i="2" s="1"/>
  <c r="AF129" i="2"/>
  <c r="AE129" i="2" s="1"/>
  <c r="AD129" i="2"/>
  <c r="AC129" i="2" s="1"/>
  <c r="AF130" i="2"/>
  <c r="AE130" i="2" s="1"/>
  <c r="AD130" i="2"/>
  <c r="AC130" i="2" s="1"/>
  <c r="AF131" i="2"/>
  <c r="AE131" i="2" s="1"/>
  <c r="AD131" i="2"/>
  <c r="AC131" i="2" s="1"/>
  <c r="AF132" i="2"/>
  <c r="AE132" i="2" s="1"/>
  <c r="AD132" i="2"/>
  <c r="AC132" i="2" s="1"/>
  <c r="AF133" i="2"/>
  <c r="AE133" i="2" s="1"/>
  <c r="AD133" i="2"/>
  <c r="AC133" i="2" s="1"/>
  <c r="AF197" i="2"/>
  <c r="AE197" i="2" s="1"/>
  <c r="AD197" i="2"/>
  <c r="AC197" i="2" s="1"/>
  <c r="AF198" i="2"/>
  <c r="AE198" i="2" s="1"/>
  <c r="AD198" i="2"/>
  <c r="AC198" i="2" s="1"/>
  <c r="AF206" i="2"/>
  <c r="AE206" i="2" s="1"/>
  <c r="AD206" i="2"/>
  <c r="AC206" i="2" s="1"/>
  <c r="AF207" i="2"/>
  <c r="AE207" i="2" s="1"/>
  <c r="AD207" i="2"/>
  <c r="AC207" i="2" s="1"/>
  <c r="AF215" i="2"/>
  <c r="AE215" i="2" s="1"/>
  <c r="AD215" i="2"/>
  <c r="AC215" i="2" s="1"/>
  <c r="AF238" i="2"/>
  <c r="AE238" i="2" s="1"/>
  <c r="AD238" i="2"/>
  <c r="AC238" i="2" s="1"/>
  <c r="AF239" i="2"/>
  <c r="AE239" i="2" s="1"/>
  <c r="AD239" i="2"/>
  <c r="AC239" i="2" s="1"/>
  <c r="AF240" i="2"/>
  <c r="AE240" i="2" s="1"/>
  <c r="AD240" i="2"/>
  <c r="AC240" i="2" s="1"/>
  <c r="AF241" i="2"/>
  <c r="AE241" i="2" s="1"/>
  <c r="AD241" i="2"/>
  <c r="AC241" i="2" s="1"/>
  <c r="AF242" i="2"/>
  <c r="AE242" i="2" s="1"/>
  <c r="AD242" i="2"/>
  <c r="AC242" i="2" s="1"/>
  <c r="AF243" i="2"/>
  <c r="AE243" i="2" s="1"/>
  <c r="AD243" i="2"/>
  <c r="AC243" i="2" s="1"/>
  <c r="AF244" i="2"/>
  <c r="AE244" i="2" s="1"/>
  <c r="AD244" i="2"/>
  <c r="AC244" i="2" s="1"/>
  <c r="AF245" i="2"/>
  <c r="AE245" i="2" s="1"/>
  <c r="AD245" i="2"/>
  <c r="AC245" i="2" s="1"/>
  <c r="AF246" i="2"/>
  <c r="AE246" i="2" s="1"/>
  <c r="AD246" i="2"/>
  <c r="AC246" i="2" s="1"/>
  <c r="AF247" i="2"/>
  <c r="AE247" i="2" s="1"/>
  <c r="AD247" i="2"/>
  <c r="AC247" i="2" s="1"/>
  <c r="AF249" i="2"/>
  <c r="AE249" i="2" s="1"/>
  <c r="AD249" i="2"/>
  <c r="AC249" i="2" s="1"/>
  <c r="AF250" i="2"/>
  <c r="AE250" i="2" s="1"/>
  <c r="AD250" i="2"/>
  <c r="AC250" i="2" s="1"/>
  <c r="AF259" i="2"/>
  <c r="AE259" i="2" s="1"/>
  <c r="AD259" i="2"/>
  <c r="AC259" i="2" s="1"/>
  <c r="AF260" i="2"/>
  <c r="AE260" i="2" s="1"/>
  <c r="AD260" i="2"/>
  <c r="AC260" i="2" s="1"/>
  <c r="AF261" i="2"/>
  <c r="AE261" i="2" s="1"/>
  <c r="AD261" i="2"/>
  <c r="AC261" i="2" s="1"/>
  <c r="AF262" i="2"/>
  <c r="AE262" i="2" s="1"/>
  <c r="AD262" i="2"/>
  <c r="AC262" i="2" s="1"/>
  <c r="AF265" i="2"/>
  <c r="AE265" i="2" s="1"/>
  <c r="AD265" i="2"/>
  <c r="AC265" i="2" s="1"/>
  <c r="AF271" i="2"/>
  <c r="AE271" i="2" s="1"/>
  <c r="AD271" i="2"/>
  <c r="AC271" i="2" s="1"/>
  <c r="AF274" i="2"/>
  <c r="AE274" i="2" s="1"/>
  <c r="AD274" i="2"/>
  <c r="AC274" i="2" s="1"/>
  <c r="AF275" i="2"/>
  <c r="AE275" i="2" s="1"/>
  <c r="AD275" i="2"/>
  <c r="AC275" i="2" s="1"/>
  <c r="AF280" i="2"/>
  <c r="AE280" i="2" s="1"/>
  <c r="AD280" i="2"/>
  <c r="AC280" i="2" s="1"/>
  <c r="AF10" i="2"/>
  <c r="AE10" i="2" s="1"/>
  <c r="AD10" i="2"/>
  <c r="AC10" i="2" s="1"/>
  <c r="AF11" i="2"/>
  <c r="AE11" i="2" s="1"/>
  <c r="AD11" i="2"/>
  <c r="AC11" i="2" s="1"/>
  <c r="AF12" i="2"/>
  <c r="AE12" i="2" s="1"/>
  <c r="AD12" i="2"/>
  <c r="AC12" i="2" s="1"/>
  <c r="AF14" i="2"/>
  <c r="AE14" i="2" s="1"/>
  <c r="AD14" i="2"/>
  <c r="AC14" i="2" s="1"/>
  <c r="AF16" i="2"/>
  <c r="AE16" i="2" s="1"/>
  <c r="AD16" i="2"/>
  <c r="AC16" i="2" s="1"/>
  <c r="AF38" i="2"/>
  <c r="AE38" i="2" s="1"/>
  <c r="AD38" i="2"/>
  <c r="AC38" i="2" s="1"/>
  <c r="AF39" i="2"/>
  <c r="AE39" i="2" s="1"/>
  <c r="AD39" i="2"/>
  <c r="AC39" i="2" s="1"/>
  <c r="AF40" i="2"/>
  <c r="AE40" i="2" s="1"/>
  <c r="AD40" i="2"/>
  <c r="AC40" i="2" s="1"/>
  <c r="AF42" i="2"/>
  <c r="AE42" i="2" s="1"/>
  <c r="AD42" i="2"/>
  <c r="AC42" i="2" s="1"/>
  <c r="AF45" i="2"/>
  <c r="AE45" i="2" s="1"/>
  <c r="AD45" i="2"/>
  <c r="AC45" i="2" s="1"/>
  <c r="AF47" i="2"/>
  <c r="AE47" i="2" s="1"/>
  <c r="AD47" i="2"/>
  <c r="AC47" i="2" s="1"/>
  <c r="AF48" i="2"/>
  <c r="AE48" i="2" s="1"/>
  <c r="AD48" i="2"/>
  <c r="AC48" i="2" s="1"/>
  <c r="AF51" i="2"/>
  <c r="AE51" i="2" s="1"/>
  <c r="AD51" i="2"/>
  <c r="AC51" i="2" s="1"/>
  <c r="AF52" i="2"/>
  <c r="AE52" i="2" s="1"/>
  <c r="AD52" i="2"/>
  <c r="AC52" i="2" s="1"/>
  <c r="AF57" i="2"/>
  <c r="AE57" i="2" s="1"/>
  <c r="AD57" i="2"/>
  <c r="AC57" i="2" s="1"/>
  <c r="AF69" i="2"/>
  <c r="AE69" i="2" s="1"/>
  <c r="AD69" i="2"/>
  <c r="AC69" i="2" s="1"/>
  <c r="AF70" i="2"/>
  <c r="AE70" i="2" s="1"/>
  <c r="AD70" i="2"/>
  <c r="AC70" i="2" s="1"/>
  <c r="AF71" i="2"/>
  <c r="AE71" i="2" s="1"/>
  <c r="AD71" i="2"/>
  <c r="AC71" i="2" s="1"/>
  <c r="AF73" i="2"/>
  <c r="AE73" i="2" s="1"/>
  <c r="AD73" i="2"/>
  <c r="AC73" i="2" s="1"/>
  <c r="AF74" i="2"/>
  <c r="AE74" i="2" s="1"/>
  <c r="AD74" i="2"/>
  <c r="AC74" i="2" s="1"/>
  <c r="AF76" i="2"/>
  <c r="AE76" i="2" s="1"/>
  <c r="AD76" i="2"/>
  <c r="AC76" i="2" s="1"/>
  <c r="AF82" i="2"/>
  <c r="AE82" i="2" s="1"/>
  <c r="AD82" i="2"/>
  <c r="AC82" i="2" s="1"/>
  <c r="AF98" i="2"/>
  <c r="AE98" i="2" s="1"/>
  <c r="AD98" i="2"/>
  <c r="AC98" i="2" s="1"/>
  <c r="AF101" i="2"/>
  <c r="AE101" i="2" s="1"/>
  <c r="AD101" i="2"/>
  <c r="AC101" i="2" s="1"/>
  <c r="AF119" i="2"/>
  <c r="AE119" i="2" s="1"/>
  <c r="AD119" i="2"/>
  <c r="AC119" i="2" s="1"/>
  <c r="AF134" i="2"/>
  <c r="AE134" i="2" s="1"/>
  <c r="AD134" i="2"/>
  <c r="AC134" i="2" s="1"/>
  <c r="AF201" i="2"/>
  <c r="AE201" i="2" s="1"/>
  <c r="AD201" i="2"/>
  <c r="AC201" i="2" s="1"/>
  <c r="AF200" i="2"/>
  <c r="AE200" i="2" s="1"/>
  <c r="AD200" i="2"/>
  <c r="AC200" i="2" s="1"/>
  <c r="AF203" i="2"/>
  <c r="AE203" i="2" s="1"/>
  <c r="AD203" i="2"/>
  <c r="AC203" i="2" s="1"/>
  <c r="AF208" i="2"/>
  <c r="AE208" i="2" s="1"/>
  <c r="AD208" i="2"/>
  <c r="AF209" i="2"/>
  <c r="AE209" i="2" s="1"/>
  <c r="AD209" i="2"/>
  <c r="AC209" i="2" s="1"/>
  <c r="AF210" i="2"/>
  <c r="AE210" i="2" s="1"/>
  <c r="AD210" i="2"/>
  <c r="AC210" i="2" s="1"/>
  <c r="AF211" i="2"/>
  <c r="AE211" i="2" s="1"/>
  <c r="AD211" i="2"/>
  <c r="AC211" i="2" s="1"/>
  <c r="AF218" i="2"/>
  <c r="AE218" i="2" s="1"/>
  <c r="AD218" i="2"/>
  <c r="AC218" i="2" s="1"/>
  <c r="AF220" i="2"/>
  <c r="AE220" i="2" s="1"/>
  <c r="AD220" i="2"/>
  <c r="AC220" i="2" s="1"/>
  <c r="AF248" i="2"/>
  <c r="AE248" i="2" s="1"/>
  <c r="AD248" i="2"/>
  <c r="AC248" i="2" s="1"/>
  <c r="AF252" i="2"/>
  <c r="AE252" i="2" s="1"/>
  <c r="AD252" i="2"/>
  <c r="AC252" i="2" s="1"/>
  <c r="AF254" i="2"/>
  <c r="AE254" i="2" s="1"/>
  <c r="AD254" i="2"/>
  <c r="AC254" i="2" s="1"/>
  <c r="AF264" i="2"/>
  <c r="AE264" i="2" s="1"/>
  <c r="AD264" i="2"/>
  <c r="AC264" i="2" s="1"/>
  <c r="AF266" i="2"/>
  <c r="AE266" i="2" s="1"/>
  <c r="AD266" i="2"/>
  <c r="AC266" i="2" s="1"/>
  <c r="AF268" i="2"/>
  <c r="AE268" i="2" s="1"/>
  <c r="AD268" i="2"/>
  <c r="AC268" i="2" s="1"/>
  <c r="AF269" i="2"/>
  <c r="AE269" i="2" s="1"/>
  <c r="AD269" i="2"/>
  <c r="AC269" i="2" s="1"/>
  <c r="AF272" i="2"/>
  <c r="AE272" i="2" s="1"/>
  <c r="AD272" i="2"/>
  <c r="AC272" i="2" s="1"/>
  <c r="AF277" i="2"/>
  <c r="AE277" i="2" s="1"/>
  <c r="AD277" i="2"/>
  <c r="AC277" i="2" s="1"/>
  <c r="AF278" i="2"/>
  <c r="AE278" i="2" s="1"/>
  <c r="AD278" i="2"/>
  <c r="AC278" i="2" s="1"/>
  <c r="AF281" i="2"/>
  <c r="AE281" i="2" s="1"/>
  <c r="AD281" i="2"/>
  <c r="AC281" i="2" s="1"/>
  <c r="AF282" i="2"/>
  <c r="AE282" i="2" s="1"/>
  <c r="AD282" i="2"/>
  <c r="AC282" i="2" s="1"/>
  <c r="I18" i="2"/>
  <c r="I3" i="2"/>
  <c r="I4" i="2"/>
  <c r="I5" i="2"/>
  <c r="I6" i="2"/>
  <c r="I7" i="2"/>
  <c r="I13" i="2"/>
  <c r="I19" i="2"/>
  <c r="I20" i="2"/>
  <c r="I21" i="2"/>
  <c r="I22" i="2"/>
  <c r="I23" i="2"/>
  <c r="I24" i="2"/>
  <c r="I25" i="2"/>
  <c r="I26" i="2"/>
  <c r="I54" i="2"/>
  <c r="I72" i="2"/>
  <c r="I80" i="2"/>
  <c r="I202" i="2"/>
  <c r="I263" i="2"/>
  <c r="I276" i="2"/>
  <c r="I279" i="2"/>
  <c r="I78" i="2"/>
  <c r="I79" i="2"/>
  <c r="I77" i="2"/>
  <c r="I83" i="2"/>
  <c r="I221" i="2"/>
  <c r="I225" i="2"/>
  <c r="I224" i="2"/>
  <c r="I228" i="2"/>
  <c r="I229" i="2"/>
  <c r="I230" i="2"/>
  <c r="I231" i="2"/>
  <c r="I232" i="2"/>
  <c r="I233" i="2"/>
  <c r="I234" i="2"/>
  <c r="I235" i="2"/>
  <c r="I236" i="2"/>
  <c r="I237" i="2"/>
  <c r="I223" i="2"/>
  <c r="I222" i="2"/>
  <c r="I227" i="2"/>
  <c r="I226" i="2"/>
  <c r="I102" i="2"/>
  <c r="I113" i="2"/>
  <c r="I114" i="2"/>
  <c r="I115" i="2"/>
  <c r="I116" i="2"/>
  <c r="I117" i="2"/>
  <c r="I118" i="2"/>
  <c r="I122" i="2"/>
  <c r="I199" i="2"/>
  <c r="I213" i="2"/>
  <c r="I214" i="2"/>
  <c r="I256" i="2"/>
  <c r="I258" i="2"/>
  <c r="I34" i="2"/>
  <c r="I35" i="2"/>
  <c r="I36" i="2"/>
  <c r="I37" i="2"/>
  <c r="I44" i="2"/>
  <c r="I53" i="2"/>
  <c r="I59" i="2"/>
  <c r="I75" i="2"/>
  <c r="I81" i="2"/>
  <c r="I84" i="2"/>
  <c r="I85" i="2"/>
  <c r="I86" i="2"/>
  <c r="I87" i="2"/>
  <c r="I88" i="2"/>
  <c r="I89" i="2"/>
  <c r="I90" i="2"/>
  <c r="I91" i="2"/>
  <c r="I92" i="2"/>
  <c r="I93" i="2"/>
  <c r="I94" i="2"/>
  <c r="I95" i="2"/>
  <c r="I97" i="2"/>
  <c r="I99" i="2"/>
  <c r="I100" i="2"/>
  <c r="I111" i="2"/>
  <c r="I112" i="2"/>
  <c r="I147" i="2"/>
  <c r="I148" i="2"/>
  <c r="I149" i="2"/>
  <c r="I150" i="2"/>
  <c r="I151" i="2"/>
  <c r="I173" i="2"/>
  <c r="I174" i="2"/>
  <c r="I187" i="2"/>
  <c r="I188" i="2"/>
  <c r="I189" i="2"/>
  <c r="I190" i="2"/>
  <c r="I191" i="2"/>
  <c r="I192" i="2"/>
  <c r="I212" i="2"/>
  <c r="I217" i="2"/>
  <c r="I219" i="2"/>
  <c r="I257" i="2"/>
  <c r="I267" i="2"/>
  <c r="I273" i="2"/>
  <c r="I160" i="2"/>
  <c r="I159" i="2"/>
  <c r="I158" i="2"/>
  <c r="I157" i="2"/>
  <c r="I156" i="2"/>
  <c r="I155" i="2"/>
  <c r="I154" i="2"/>
  <c r="I167" i="2"/>
  <c r="I166" i="2"/>
  <c r="I165" i="2"/>
  <c r="I164" i="2"/>
  <c r="I163" i="2"/>
  <c r="I162" i="2"/>
  <c r="I161" i="2"/>
  <c r="I283" i="2"/>
  <c r="I284" i="2"/>
  <c r="I285" i="2"/>
  <c r="I286" i="2"/>
  <c r="I287" i="2"/>
  <c r="I103" i="2"/>
  <c r="I136" i="2"/>
  <c r="I137" i="2"/>
  <c r="I138" i="2"/>
  <c r="I139" i="2"/>
  <c r="I140" i="2"/>
  <c r="I144" i="2"/>
  <c r="I153" i="2"/>
  <c r="I177" i="2"/>
  <c r="I178" i="2"/>
  <c r="I186" i="2"/>
  <c r="I196" i="2"/>
  <c r="I8" i="2"/>
  <c r="I9" i="2"/>
  <c r="I15" i="2"/>
  <c r="I17" i="2"/>
  <c r="I27" i="2"/>
  <c r="I28" i="2"/>
  <c r="I29" i="2"/>
  <c r="I30" i="2"/>
  <c r="I31" i="2"/>
  <c r="I32" i="2"/>
  <c r="I33" i="2"/>
  <c r="I41" i="2"/>
  <c r="I43" i="2"/>
  <c r="I60" i="2"/>
  <c r="I61" i="2"/>
  <c r="I62" i="2"/>
  <c r="I63" i="2"/>
  <c r="I64" i="2"/>
  <c r="I65" i="2"/>
  <c r="I66" i="2"/>
  <c r="I67" i="2"/>
  <c r="I68" i="2"/>
  <c r="I96" i="2"/>
  <c r="I135" i="2"/>
  <c r="I141" i="2"/>
  <c r="I142" i="2"/>
  <c r="I143" i="2"/>
  <c r="I145" i="2"/>
  <c r="I146" i="2"/>
  <c r="I152" i="2"/>
  <c r="I168" i="2"/>
  <c r="I169" i="2"/>
  <c r="I170" i="2"/>
  <c r="I171" i="2"/>
  <c r="I172" i="2"/>
  <c r="I175" i="2"/>
  <c r="I176" i="2"/>
  <c r="I179" i="2"/>
  <c r="I180" i="2"/>
  <c r="I181" i="2"/>
  <c r="I182" i="2"/>
  <c r="I183" i="2"/>
  <c r="I184" i="2"/>
  <c r="I185" i="2"/>
  <c r="I193" i="2"/>
  <c r="I194" i="2"/>
  <c r="I195" i="2"/>
  <c r="I205" i="2"/>
  <c r="I253" i="2"/>
  <c r="I255" i="2"/>
  <c r="I109" i="2"/>
  <c r="I216" i="2"/>
  <c r="I46" i="2"/>
  <c r="I49" i="2"/>
  <c r="I50" i="2"/>
  <c r="I55" i="2"/>
  <c r="I105" i="2"/>
  <c r="I110" i="2"/>
  <c r="I204" i="2"/>
  <c r="I251" i="2"/>
  <c r="I56" i="2"/>
  <c r="I58" i="2"/>
  <c r="I104" i="2"/>
  <c r="I106" i="2"/>
  <c r="I107" i="2"/>
  <c r="I108" i="2"/>
  <c r="I120" i="2"/>
  <c r="I121" i="2"/>
  <c r="I125" i="2"/>
  <c r="I126" i="2"/>
  <c r="I127" i="2"/>
  <c r="I128" i="2"/>
  <c r="I129" i="2"/>
  <c r="I130" i="2"/>
  <c r="I131" i="2"/>
  <c r="I132" i="2"/>
  <c r="I133" i="2"/>
  <c r="I197" i="2"/>
  <c r="I198" i="2"/>
  <c r="I206" i="2"/>
  <c r="I207" i="2"/>
  <c r="I215" i="2"/>
  <c r="I238" i="2"/>
  <c r="I239" i="2"/>
  <c r="I240" i="2"/>
  <c r="I241" i="2"/>
  <c r="I242" i="2"/>
  <c r="I243" i="2"/>
  <c r="I244" i="2"/>
  <c r="I245" i="2"/>
  <c r="I246" i="2"/>
  <c r="I247" i="2"/>
  <c r="I249" i="2"/>
  <c r="I250" i="2"/>
  <c r="I259" i="2"/>
  <c r="I260" i="2"/>
  <c r="I261" i="2"/>
  <c r="I262" i="2"/>
  <c r="I265" i="2"/>
  <c r="I271" i="2"/>
  <c r="I274" i="2"/>
  <c r="I275" i="2"/>
  <c r="I280" i="2"/>
  <c r="I10" i="2"/>
  <c r="I11" i="2"/>
  <c r="I12" i="2"/>
  <c r="I14" i="2"/>
  <c r="I16" i="2"/>
  <c r="I38" i="2"/>
  <c r="I39" i="2"/>
  <c r="I40" i="2"/>
  <c r="I42" i="2"/>
  <c r="I45" i="2"/>
  <c r="I47" i="2"/>
  <c r="I48" i="2"/>
  <c r="I51" i="2"/>
  <c r="I52" i="2"/>
  <c r="I57" i="2"/>
  <c r="I69" i="2"/>
  <c r="I70" i="2"/>
  <c r="I71" i="2"/>
  <c r="I73" i="2"/>
  <c r="I74" i="2"/>
  <c r="I76" i="2"/>
  <c r="I82" i="2"/>
  <c r="I98" i="2"/>
  <c r="I101" i="2"/>
  <c r="I119" i="2"/>
  <c r="I134" i="2"/>
  <c r="I201" i="2"/>
  <c r="I200" i="2"/>
  <c r="I203" i="2"/>
  <c r="I208" i="2"/>
  <c r="I209" i="2"/>
  <c r="I210" i="2"/>
  <c r="I211" i="2"/>
  <c r="I218" i="2"/>
  <c r="I220" i="2"/>
  <c r="I248" i="2"/>
  <c r="I252" i="2"/>
  <c r="I254" i="2"/>
  <c r="I264" i="2"/>
  <c r="I266" i="2"/>
  <c r="I268" i="2"/>
  <c r="I269" i="2"/>
  <c r="I272" i="2"/>
  <c r="I277" i="2"/>
  <c r="I278" i="2"/>
  <c r="I281" i="2"/>
  <c r="I282" i="2"/>
  <c r="AF270" i="2"/>
  <c r="AE270" i="2" s="1"/>
  <c r="AD270" i="2"/>
  <c r="AC270" i="2" s="1"/>
</calcChain>
</file>

<file path=xl/sharedStrings.xml><?xml version="1.0" encoding="utf-8"?>
<sst xmlns="http://schemas.openxmlformats.org/spreadsheetml/2006/main" count="6284" uniqueCount="1021">
  <si>
    <t>Field #</t>
  </si>
  <si>
    <t>NCH Cobol Copy book Field Name</t>
  </si>
  <si>
    <t>In Table Source Fields</t>
  </si>
  <si>
    <t>Business Rule</t>
  </si>
  <si>
    <t>NCH Target Table</t>
  </si>
  <si>
    <t>NCH Target Column</t>
  </si>
  <si>
    <t>MCS Table</t>
  </si>
  <si>
    <t>MCS Column</t>
  </si>
  <si>
    <t>Populated Phase 2/3</t>
  </si>
  <si>
    <t>Data Match? Y/N</t>
  </si>
  <si>
    <t>Comments</t>
  </si>
  <si>
    <t>Notes</t>
  </si>
  <si>
    <t>(if same Y/N if N include MCS Table)</t>
  </si>
  <si>
    <t>(same Y/N, if N include MCS column)</t>
  </si>
  <si>
    <t>Carrier Claim Fixed Group</t>
  </si>
  <si>
    <t>-</t>
  </si>
  <si>
    <t xml:space="preserve">Not Populated </t>
  </si>
  <si>
    <t>Claim Record Identification Group</t>
  </si>
  <si>
    <t>Record Length Count</t>
  </si>
  <si>
    <t xml:space="preserve">REC_LNGTH_CNT                 </t>
  </si>
  <si>
    <t>NCH Near-Line Record Version Code</t>
  </si>
  <si>
    <t xml:space="preserve">NCH_NEAR_LINE_REC_VRSN_CD     </t>
  </si>
  <si>
    <t>NCH Near Line Record Identification Code</t>
  </si>
  <si>
    <t xml:space="preserve">NCH_NEAR_LINE_RIC_CD          </t>
  </si>
  <si>
    <t>None</t>
  </si>
  <si>
    <t>CLM_DCMTN</t>
  </si>
  <si>
    <t>CLM_NRLN_RIC_CD</t>
  </si>
  <si>
    <t>NCH MQA RIC Code</t>
  </si>
  <si>
    <t xml:space="preserve">NCH_MQA_RIC_CD                </t>
  </si>
  <si>
    <t>NCH Claim Type Code</t>
  </si>
  <si>
    <t xml:space="preserve">NCH_CLM_TYPE_CD               </t>
  </si>
  <si>
    <t>CLM</t>
  </si>
  <si>
    <t>CLM_TYPE_CD</t>
  </si>
  <si>
    <t>Carrier/DMERC Claim Link Group</t>
  </si>
  <si>
    <t>Claim Locator Number Group</t>
  </si>
  <si>
    <t>Beneficiary Claim Account Number</t>
  </si>
  <si>
    <t xml:space="preserve">BENE_CLM_ACNT_NUM             </t>
  </si>
  <si>
    <t>Concatenate BENE_CLM_ACNT_NUM || BENE_IDENT_CD</t>
  </si>
  <si>
    <t>CLM_HIC_NUM</t>
  </si>
  <si>
    <t>NCH Category Equatable Beneficiary Identification Code</t>
  </si>
  <si>
    <t xml:space="preserve">NCH_CTGRY_EQTBL_BIC_CD        </t>
  </si>
  <si>
    <t>BENE_CTGRY_EQTBL_BIC_CD</t>
  </si>
  <si>
    <t>Beneficiary Identification Code</t>
  </si>
  <si>
    <t xml:space="preserve">BENE_IDENT_CD                 </t>
  </si>
  <si>
    <t>NCH State Segment Code</t>
  </si>
  <si>
    <t xml:space="preserve">NCH_STATE_SGMT_CD             </t>
  </si>
  <si>
    <t>RF_CLMB_CARR_NK_HIST</t>
  </si>
  <si>
    <t>NCH_STATE_SGMT_CD</t>
  </si>
  <si>
    <t>Beneficiary Residence SSA Standard State Code</t>
  </si>
  <si>
    <t xml:space="preserve">BENE_RSDNC_SSA_STD_STATE_CD   </t>
  </si>
  <si>
    <t>BENE_RSDNC_SSA_STD_STATE_CD</t>
  </si>
  <si>
    <t>GEO_BENE_SSA_STATE_CD</t>
  </si>
  <si>
    <t>Claim From Date</t>
  </si>
  <si>
    <t xml:space="preserve">CLM_FROM_DT                   </t>
  </si>
  <si>
    <t>CLM_DT_SGNTR_SK</t>
  </si>
  <si>
    <t>CLM_DT_SGNTR</t>
  </si>
  <si>
    <t>CLM_FROM_DT</t>
  </si>
  <si>
    <t>CLM_LINE</t>
  </si>
  <si>
    <t>Claim Through Date</t>
  </si>
  <si>
    <t xml:space="preserve">CLM_THRU_DT                   </t>
  </si>
  <si>
    <t>CLM_THRU_DT</t>
  </si>
  <si>
    <t>NCH Weekly Claim Processing Date</t>
  </si>
  <si>
    <t xml:space="preserve">NCH_WKLY_PROC_DT              </t>
  </si>
  <si>
    <t>CLM_NCH_WKLY_PROC_DT</t>
  </si>
  <si>
    <t>CWF Claim Accretion Date</t>
  </si>
  <si>
    <t xml:space="preserve">CWF_CLM_ACRTN_DT              </t>
  </si>
  <si>
    <t>CLM_CWF_ACRTN_DT</t>
  </si>
  <si>
    <t>CWF Claim Accretion Number</t>
  </si>
  <si>
    <t xml:space="preserve">CWF_CLM_ACRTN_NUM             </t>
  </si>
  <si>
    <t>CLM_MDCR_ACRTN_NUM</t>
  </si>
  <si>
    <t>Carrier Claim Control Number</t>
  </si>
  <si>
    <t xml:space="preserve">CARR_CLM_CNTL_NUM             </t>
  </si>
  <si>
    <t>CLM_CNTL_NUM</t>
  </si>
  <si>
    <t>Filler</t>
  </si>
  <si>
    <t>FILLER_1</t>
  </si>
  <si>
    <t>NCH Daily Process Date</t>
  </si>
  <si>
    <t xml:space="preserve">NCH_DAILY_PROC_DT             </t>
  </si>
  <si>
    <t>CLM_NCH_DLY_PROC_DT</t>
  </si>
  <si>
    <t>NCH Segment Link Number</t>
  </si>
  <si>
    <t xml:space="preserve">NCH_SGMT_LINK_NUM             </t>
  </si>
  <si>
    <t>CLM_NCH_LINK_NUM</t>
  </si>
  <si>
    <t>Claim Total Segment Count</t>
  </si>
  <si>
    <t xml:space="preserve">CLM_TOT_SGMT_CNT              </t>
  </si>
  <si>
    <t>Claim Segment Number</t>
  </si>
  <si>
    <t xml:space="preserve">CLM_SGMT_NUM                  </t>
  </si>
  <si>
    <t>CLM_SGMT_NUM</t>
  </si>
  <si>
    <t>Claim Total Line Count</t>
  </si>
  <si>
    <t xml:space="preserve">CLM_TOT_LINE_CNT              </t>
  </si>
  <si>
    <t>CLM_TOT_LINE_CNT</t>
  </si>
  <si>
    <t>Claim Segment Line Count</t>
  </si>
  <si>
    <t xml:space="preserve">CLM_SGMT_LINE_CNT             </t>
  </si>
  <si>
    <t>Carrier/DMERC Claim Common 1 Group</t>
  </si>
  <si>
    <t>FILLER_2</t>
  </si>
  <si>
    <t>Carrier Claim Entry Code</t>
  </si>
  <si>
    <t xml:space="preserve">CARR_CLM_ENTRY_CD             </t>
  </si>
  <si>
    <t>CLM_QUERY_CD</t>
  </si>
  <si>
    <t>FILLER_3</t>
  </si>
  <si>
    <t>Claim Disposition Code</t>
  </si>
  <si>
    <t xml:space="preserve">CLM_DISP_CD                   </t>
  </si>
  <si>
    <t>CLM_DISP_CD</t>
  </si>
  <si>
    <t>NCH Edit Disposition Code</t>
  </si>
  <si>
    <t xml:space="preserve">NCH_EDIT_DISP_CD              </t>
  </si>
  <si>
    <t>CLM_NCH_EDIT_DISP_CD</t>
  </si>
  <si>
    <t>NCH Claim BIC Modify H Code</t>
  </si>
  <si>
    <t xml:space="preserve">NCH_CLM_BIC_MDFY_CD           </t>
  </si>
  <si>
    <t>CLM_NCH_MDFY_BIC_CD</t>
  </si>
  <si>
    <t>Beneficiary Residence SSA Standard County Code</t>
  </si>
  <si>
    <t xml:space="preserve">BENE_RSDNC_SSA_STD_CNTY_CD    </t>
  </si>
  <si>
    <t>GEO_BENE_SSA_CNTY_CD</t>
  </si>
  <si>
    <t>Carrier Claim Receipt Date</t>
  </si>
  <si>
    <t xml:space="preserve">CARR_CLM_RCPT_DT              </t>
  </si>
  <si>
    <t>CLM_SUBMSN_DT</t>
  </si>
  <si>
    <t>Carrier Claim Scheduled Payment Date</t>
  </si>
  <si>
    <t xml:space="preserve">CARR_CLM_SCHLD_PMT_DT         </t>
  </si>
  <si>
    <t>CLM_SCHLD_PMT_DT</t>
  </si>
  <si>
    <t>CLM_PD_DT</t>
  </si>
  <si>
    <t>CWF Forwarded Date</t>
  </si>
  <si>
    <t xml:space="preserve">CWF_FRWRD_DT                  </t>
  </si>
  <si>
    <t>CLM_TRNSMSN_TO_CMS_DT</t>
  </si>
  <si>
    <t>Carrier Number</t>
  </si>
  <si>
    <t xml:space="preserve">CARR_NUM                      </t>
  </si>
  <si>
    <t>CLM_CNTRCTR_NUM</t>
  </si>
  <si>
    <t>FILLER_4</t>
  </si>
  <si>
    <t>CWF Transmission Batch Number</t>
  </si>
  <si>
    <t xml:space="preserve">CWF_TRNSMSN_BATCH_NUM         </t>
  </si>
  <si>
    <t>CLM_MDCR_BATCH_NUM</t>
  </si>
  <si>
    <t>Beneficiary Mailing Contact Zip Code</t>
  </si>
  <si>
    <t xml:space="preserve">BENE_MLG_CNTCT_ZIP_CD         </t>
  </si>
  <si>
    <t>Lookup substr(BENE_MLG_CNTCT_ZIP_CD,1,5) against GEO if not found 0</t>
  </si>
  <si>
    <t>GEO_BENE_SK</t>
  </si>
  <si>
    <t>substr(BENE_MLG_CNTCT_ZIP_CD,6,4)</t>
  </si>
  <si>
    <t>CLM_CWF_PLUS_4_ZIP_CD</t>
  </si>
  <si>
    <t>Beneficiary Sex Identification Code</t>
  </si>
  <si>
    <t xml:space="preserve">BENE_SEX_IDENT_CD             </t>
  </si>
  <si>
    <t>BENE_SEX_CD</t>
  </si>
  <si>
    <t>Beneficiary Race Code</t>
  </si>
  <si>
    <t xml:space="preserve">BENE_RACE_CD                  </t>
  </si>
  <si>
    <t>BENE_RACE_CD</t>
  </si>
  <si>
    <t>Beneficiary Birth Date</t>
  </si>
  <si>
    <t xml:space="preserve">BENE_BIRTH_DT                 </t>
  </si>
  <si>
    <t xml:space="preserve">CLM_PTNT_BIRTH_DT             </t>
  </si>
  <si>
    <t>CWF Beneficiary Medicare Status Code</t>
  </si>
  <si>
    <t xml:space="preserve">CWF_BENE_MDCR_STUS_CD         </t>
  </si>
  <si>
    <t>CLM_CWF_BENE_MDCR_STUS_CD</t>
  </si>
  <si>
    <t>Claim Patient 6 Position Surname</t>
  </si>
  <si>
    <t xml:space="preserve">CLM_PTNT_6_PSTN_SRNM_NAME     </t>
  </si>
  <si>
    <t xml:space="preserve">CLM_LAST_NAME                 </t>
  </si>
  <si>
    <t>Claim Patient 1st Initial Given Name</t>
  </si>
  <si>
    <t xml:space="preserve">CLM_PTNT_1ST_INITL_GVN_NAME   </t>
  </si>
  <si>
    <t xml:space="preserve">CLM_1ST_NAME                  </t>
  </si>
  <si>
    <t>Claim Patient First Initial Middle Name</t>
  </si>
  <si>
    <t xml:space="preserve">CLM_PTNT_1ST_INITL_MDL_NAME   </t>
  </si>
  <si>
    <t xml:space="preserve">CLM_INTL_MDL_NAME             </t>
  </si>
  <si>
    <t>Beneficiary CWF Location Code</t>
  </si>
  <si>
    <t xml:space="preserve">BENE_CWF_LOC_CD               </t>
  </si>
  <si>
    <t>CLM_BENE_CWF_LOC_CD</t>
  </si>
  <si>
    <t>Claim Principal Diagnosis Group</t>
  </si>
  <si>
    <t>Claim Principal Diagnosis Version Code</t>
  </si>
  <si>
    <t xml:space="preserve">CLM_PRNCPAL_DGNS_VRSN_CD           </t>
  </si>
  <si>
    <t>Set CLM_PROD.CLM_PROD_TYPE_CD = ''P'' and CLM_PROD.CLM_VAL_SQNC_NUM = 1</t>
  </si>
  <si>
    <t>CLM_PROD</t>
  </si>
  <si>
    <t>CLM_DGNS_PRCDR_ICD_IND</t>
  </si>
  <si>
    <t>CLM_PROD_MTRLZD</t>
  </si>
  <si>
    <t>Claim Principal Diagnosis Code</t>
  </si>
  <si>
    <t xml:space="preserve">CLM_PRNCPAL_DGNS_CD           </t>
  </si>
  <si>
    <t>CLM_DGNS_CD</t>
  </si>
  <si>
    <t>CLM_PRNCPL_DGNS_CD</t>
  </si>
  <si>
    <t>FILLER_5</t>
  </si>
  <si>
    <t>Carrier Claim Payment Denial Code</t>
  </si>
  <si>
    <t xml:space="preserve">CARR_CLM_PMT_DNL_CD           </t>
  </si>
  <si>
    <t>CLM_PRFNL</t>
  </si>
  <si>
    <t>CLM_CARR_PMT_DNL_CD</t>
  </si>
  <si>
    <t>Claim Excepted/Nonexcepted Medical Treatment Code</t>
  </si>
  <si>
    <t xml:space="preserve">CLM_EXCPTD_NEXCPTD_TRTMT_CD   </t>
  </si>
  <si>
    <t>CLM_EXCPTD_NEXCPTD_CD</t>
  </si>
  <si>
    <t>Claim Payment Amount</t>
  </si>
  <si>
    <t xml:space="preserve">CLM_PMT_AMT                   </t>
  </si>
  <si>
    <t>CLM_PMT_AMT</t>
  </si>
  <si>
    <t>Carrier Claim Primary Payer Paid Amount</t>
  </si>
  <si>
    <t xml:space="preserve">CARR_CLM_PRMRY_PYR_PD_AMT     </t>
  </si>
  <si>
    <t>CLM_MDCR_PRFNL_PRMRY_PYR_AMT</t>
  </si>
  <si>
    <t>FILLER_6</t>
  </si>
  <si>
    <t>Carrier Claim Referring UPIN Number</t>
  </si>
  <si>
    <t xml:space="preserve">CARR_CLM_RFRG_UPIN_NUM        </t>
  </si>
  <si>
    <t>CLM_RFRG_PRVDR_UPIN_NUM</t>
  </si>
  <si>
    <t>Carrier Claim Referring Physician NPI Number</t>
  </si>
  <si>
    <t xml:space="preserve">CARR_CLM_RFRG_PHYSN_NPI_NUM   </t>
  </si>
  <si>
    <t>Lookup against PRVDR.PRVDR_NPI_NUM if not found = ''~''</t>
  </si>
  <si>
    <t>PRVDR_RFRG_PRVDR_NPI_NUM</t>
  </si>
  <si>
    <t>CLM_RFRG_PRVDR_NPI_NUM</t>
  </si>
  <si>
    <t>Carrier Claim Provider Assignment Indicator Switch</t>
  </si>
  <si>
    <t xml:space="preserve">CARR_CLM_PRVDR_ASGNMT_IND_SW  </t>
  </si>
  <si>
    <t>CLM_MDCR_PRFNL_PRVDR_ASGNMT_SW</t>
  </si>
  <si>
    <t>NCH Claim Provider Payment Amount</t>
  </si>
  <si>
    <t xml:space="preserve">NCH_CLM_PRVDR_PMT_AMT         </t>
  </si>
  <si>
    <t>CLM_PRVDR_PMT_AMT</t>
  </si>
  <si>
    <t>NCH Claim Beneficiary Payment Amount</t>
  </si>
  <si>
    <t xml:space="preserve">NCH_CLM_BENE_PMT_AMT          </t>
  </si>
  <si>
    <t>CLM_MDCR_PRFNL_BENE_PD_AMT</t>
  </si>
  <si>
    <t>CLM_BENE_PD_AMT</t>
  </si>
  <si>
    <t>Carrier Claim Beneficiary Paid Amount</t>
  </si>
  <si>
    <t xml:space="preserve">CARR_CLM_BENE_PD_AMT          </t>
  </si>
  <si>
    <t>CLM_MDCR_PRFNL_BENE_PMT_AMT</t>
  </si>
  <si>
    <t>CLM_BENE_PMT_AMT</t>
  </si>
  <si>
    <t>NCH Carrier Claim Submitted Charge Amount</t>
  </si>
  <si>
    <t xml:space="preserve">NCH_CARR_SBMT_CHRG_AMT        </t>
  </si>
  <si>
    <t>CLM_SBMT_CHRG_AMT</t>
  </si>
  <si>
    <t>NCH Carrier Claim Allowed Charge Amount</t>
  </si>
  <si>
    <t xml:space="preserve">NCH_CARR_ALOW_CHRG_AMT        </t>
  </si>
  <si>
    <t>CLM_ALOWD_CHRG_AMT</t>
  </si>
  <si>
    <t>Carrier Claim Cash Deductible Applied Amount</t>
  </si>
  <si>
    <t>CARR_CLM_CASH_DDCTBL_APPLY_AMT</t>
  </si>
  <si>
    <t xml:space="preserve">CLM_MDCR_DDCTBL_AMT           </t>
  </si>
  <si>
    <t>Carrier Claim HCPCS Year Code</t>
  </si>
  <si>
    <t xml:space="preserve">CARR_CLM_HCPCS_YR_CD          </t>
  </si>
  <si>
    <t>Carrier Claim MCO Override Indicator Code</t>
  </si>
  <si>
    <t xml:space="preserve">CARR_CLM_MCO_OVRRD_IND_CD     </t>
  </si>
  <si>
    <t>CLM_MCO_OVRRD_CD</t>
  </si>
  <si>
    <t>Carrier Claim Hospice Override Indicator Code</t>
  </si>
  <si>
    <t xml:space="preserve">CARR_CLM_HOSPC_OVRRD_IND_CD   </t>
  </si>
  <si>
    <t>CLM_HOSPC_OVRRD_CD</t>
  </si>
  <si>
    <t>Claim Business Segment Identifier Code</t>
  </si>
  <si>
    <t xml:space="preserve">CLM_BUSNS_SGMT_ID_CD          </t>
  </si>
  <si>
    <t>CLM_MDCR_PRFNL_BUSNS_SGMT_CD</t>
  </si>
  <si>
    <t>Claim Clinical Trail Number</t>
  </si>
  <si>
    <t xml:space="preserve">CLM_CLNCL_TRIL_NUM            </t>
  </si>
  <si>
    <t>CLM_CLNCL_TRIL_NUM</t>
  </si>
  <si>
    <r>
      <t xml:space="preserve">Claim </t>
    </r>
    <r>
      <rPr>
        <b/>
        <sz val="8"/>
        <rFont val="Arial"/>
        <family val="2"/>
      </rPr>
      <t xml:space="preserve">RAC </t>
    </r>
    <r>
      <rPr>
        <sz val="8"/>
        <rFont val="Arial"/>
        <family val="2"/>
      </rPr>
      <t>Adjustment Indication Code</t>
    </r>
  </si>
  <si>
    <t xml:space="preserve">CLM_RAC_ADJSTMT_IND_CD        </t>
  </si>
  <si>
    <t>CLM_RAC_ADJSTMT_IND_CD</t>
  </si>
  <si>
    <t>Claim PWK Code</t>
  </si>
  <si>
    <t>CLM_PWK_CD</t>
  </si>
  <si>
    <t>CLM_DCMTN_CD</t>
  </si>
  <si>
    <t xml:space="preserve">Claim Care Improvement Model 1 Code </t>
  </si>
  <si>
    <t>CLM_CARE_IMPRVMT_MODEL_1_CD</t>
  </si>
  <si>
    <t xml:space="preserve">Claim Care Improvement Model 2 Code </t>
  </si>
  <si>
    <t>CLM_CARE_IMPRVMT_MODEL_2_CD</t>
  </si>
  <si>
    <t xml:space="preserve">Claim Care Improvement Model 3 Code </t>
  </si>
  <si>
    <t>CLM_CARE_IMPRVMT_MODEL_3_CD</t>
  </si>
  <si>
    <t xml:space="preserve">Claim Care Improvement Model 4 Code </t>
  </si>
  <si>
    <t>CLM_CARE_IMPRVMT_MODEL_4_CD</t>
  </si>
  <si>
    <t>Claim FPS Model Number</t>
  </si>
  <si>
    <t>CLM_FPS_MODEL_NUM</t>
  </si>
  <si>
    <t>Claim FPS Reason Code</t>
  </si>
  <si>
    <t>CLM_FPS_RSN_CD</t>
  </si>
  <si>
    <t>Remapping for MCS required</t>
  </si>
  <si>
    <t>Claim FPS Remarks Code</t>
  </si>
  <si>
    <t>CLM_FPS_RMRK_CD</t>
  </si>
  <si>
    <t>Claim FPS MSN Code 1</t>
  </si>
  <si>
    <t>CLM_FPS_MSN_1_CD</t>
  </si>
  <si>
    <t>Claim FPS MSN Code 2</t>
  </si>
  <si>
    <t>CLM_FPS_MSN_2_CD</t>
  </si>
  <si>
    <t>Mass Adjustment Indicator Code</t>
  </si>
  <si>
    <t>CLM_MASS_ADJSTMT_IND_CD</t>
  </si>
  <si>
    <t>CLM_MASS_ADJSTMT_TYPE_CD</t>
  </si>
  <si>
    <t>Carrier Claim Paper Provider Code</t>
  </si>
  <si>
    <t>CLM_PAPER_PRVDR_CD</t>
  </si>
  <si>
    <t>CLM_PAPER_PRVDR_TYPE_CD</t>
  </si>
  <si>
    <t>Claim Residual Payment Indicator Code</t>
  </si>
  <si>
    <t>CLM_RSDL_PMT_IND_CD</t>
  </si>
  <si>
    <t xml:space="preserve">CLM_RSDL_PYMT_IND_CD </t>
  </si>
  <si>
    <t>Claim Accountable Care Organization Identification Number</t>
  </si>
  <si>
    <t>CLM_ACO_ID_NUM</t>
  </si>
  <si>
    <t>Medicare Benificiary Identification Number</t>
  </si>
  <si>
    <t>MBI_ID</t>
  </si>
  <si>
    <t>RF_CLMB_CARR_NK_HIST,</t>
  </si>
  <si>
    <t>CLM_BENE_MBI_ID</t>
  </si>
  <si>
    <t>Claim Benificary Identification Type Code</t>
  </si>
  <si>
    <t>CLM_BENE_ID_TYPE_CD</t>
  </si>
  <si>
    <t>CLM_SBMTD_BENE_ID_TYPE_CD</t>
  </si>
  <si>
    <t>Claim Provider Validation Type Code</t>
  </si>
  <si>
    <t>CLM_PRVDR_VLDTN_CD</t>
  </si>
  <si>
    <t>Claim Group Code</t>
  </si>
  <si>
    <t>CLM_GROUP_CD</t>
  </si>
  <si>
    <t xml:space="preserve">Claim Adjustment Reason Code </t>
  </si>
  <si>
    <t>CLM_CARC</t>
  </si>
  <si>
    <t xml:space="preserve">Remittance Advice Remark Code </t>
  </si>
  <si>
    <t>CLM_RARC</t>
  </si>
  <si>
    <t xml:space="preserve">Patient Control Number </t>
  </si>
  <si>
    <t>PTNT_CNTL_NUM</t>
  </si>
  <si>
    <t>Billing Provider Secondary Specialty 1 Code</t>
  </si>
  <si>
    <t>PRVDR_SEC_SPCLTY_1_CD</t>
  </si>
  <si>
    <t>Billing Provider Secondary Specialty 2 Code</t>
  </si>
  <si>
    <t>PRVDR_SEC_SPCLTY_2_CD</t>
  </si>
  <si>
    <t>Billing Provider Secondary Specialty 3 Code</t>
  </si>
  <si>
    <t>PRVDR_SEC_SPCLTY_3_CD</t>
  </si>
  <si>
    <t>Billing Provider Taxonomy Code</t>
  </si>
  <si>
    <t>PRVDR_TXNMY_CD</t>
  </si>
  <si>
    <t>FILLER_7</t>
  </si>
  <si>
    <t>Carrier Specific Group</t>
  </si>
  <si>
    <t>Carrier Claim Referring PIN Number</t>
  </si>
  <si>
    <t xml:space="preserve">CARR_CLM_RFRG_PIN_NUM         </t>
  </si>
  <si>
    <t>CLM_RFRG_PRVDR_PIN_NUM</t>
  </si>
  <si>
    <t>Care Plan Oversight (CPO) Provider Number</t>
  </si>
  <si>
    <t xml:space="preserve">CPO_PRVDR_NUM                 </t>
  </si>
  <si>
    <t>CLM_FAC_PRVDR_CPO_OSCAR_NUM</t>
  </si>
  <si>
    <t>CPO Organization NPI Number</t>
  </si>
  <si>
    <t xml:space="preserve">CPO_ORG_NPI_NUM               </t>
  </si>
  <si>
    <t>PRVDR_CPO_FAC_NPI_NUM</t>
  </si>
  <si>
    <t>CLM_FAC_PRVDR_CPO_ORG_NPI_ID</t>
  </si>
  <si>
    <t>Claim Blood Pints Furnished Quantity</t>
  </si>
  <si>
    <t xml:space="preserve">CLM_BLOOD_PT_FRNSH_QTY        </t>
  </si>
  <si>
    <t>CLM_BLOOD_PT_FRNSH_QTY</t>
  </si>
  <si>
    <t>Claim Blood Deductible Pints Quantity</t>
  </si>
  <si>
    <t xml:space="preserve">CLM_BLOOD_DDCTBL_PT_QTY       </t>
  </si>
  <si>
    <t>CLM_BLOOD_DDCTBL_PT_QTY</t>
  </si>
  <si>
    <t>Carrier Claim Billing NPI Number</t>
  </si>
  <si>
    <t>CARR_CLM_BLG_NPI_NUM</t>
  </si>
  <si>
    <t>CLM_BLG_PRVDR_NPI_NUM</t>
  </si>
  <si>
    <t>PRVDR_BLG_PRVDR_NPI_NUM</t>
  </si>
  <si>
    <t>Carrier Claim Site of Service NPI Number</t>
  </si>
  <si>
    <t>CARR_CLM_SOS_NPI_NUM</t>
  </si>
  <si>
    <t>CLM_SRVC_PRVDR_NPI_NUM</t>
  </si>
  <si>
    <t>FILLER_8</t>
  </si>
  <si>
    <t>Carrier NCH Edit Code Count</t>
  </si>
  <si>
    <t>CARR_NCH_EDIT_CD_CNT</t>
  </si>
  <si>
    <t>CLM_EDIT_GRP_SGNTR_SK</t>
  </si>
  <si>
    <t>CLM_EDIT_GRP_SGNTR</t>
  </si>
  <si>
    <t>CLM_EDIT_SGNTR_MBR_CNT</t>
  </si>
  <si>
    <t>Carrier NCH Patch Code Count</t>
  </si>
  <si>
    <t xml:space="preserve">CARR_NCH_PATCH_CD_I_CNT       </t>
  </si>
  <si>
    <t>CLM_PTCH_GRP_SGNTR_SK</t>
  </si>
  <si>
    <t>CLM_PTCH_GRP_SGNTR</t>
  </si>
  <si>
    <t>CLM_PTCH_SGNTR_MBR_CNT</t>
  </si>
  <si>
    <t>Carrier MCO Period Count</t>
  </si>
  <si>
    <t xml:space="preserve">CARR_MCO_PRD_CNT              </t>
  </si>
  <si>
    <t>CLM_MDCR_PRFNL_MCO_PRD_CNT</t>
  </si>
  <si>
    <t>Carrier Claim Diagnosis Code Count</t>
  </si>
  <si>
    <t xml:space="preserve">CARR_CLM_DGNS_CD_J_CNT     </t>
  </si>
  <si>
    <t>COUNT - Count of Header level Diagnosis Codes</t>
  </si>
  <si>
    <t>CLM_DGNS_TOT_OCRNC_CNT</t>
  </si>
  <si>
    <t>Carrier Claim Line Count</t>
  </si>
  <si>
    <t xml:space="preserve">CARR_CLM_LINE_CNT             </t>
  </si>
  <si>
    <t>FILLER_9</t>
  </si>
  <si>
    <t>Carrier Claim Variable Group</t>
  </si>
  <si>
    <t>NCH Edit Group (up to 13 occurrences)</t>
  </si>
  <si>
    <t>NCH Edit Trailer Indicator Code</t>
  </si>
  <si>
    <t xml:space="preserve">NCH_EDIT_TRLR_IND_CD_L        </t>
  </si>
  <si>
    <t>NCH Edit Code</t>
  </si>
  <si>
    <t xml:space="preserve">NCH_EDIT_CD_L                 </t>
  </si>
  <si>
    <t>CLM_EDIT_GRP_SGNTR_MBR</t>
  </si>
  <si>
    <t>CLM_NCH_EDIT_CD</t>
  </si>
  <si>
    <t>NCH Patch Group (up to 30 occurrences)</t>
  </si>
  <si>
    <t>NCH Patch Trailer Indicator Code</t>
  </si>
  <si>
    <t xml:space="preserve">NCH_PATCH_TRLR_IND_CD_L       </t>
  </si>
  <si>
    <t>NCH Patch Code</t>
  </si>
  <si>
    <t xml:space="preserve">NCH_PATCH_CD_L                </t>
  </si>
  <si>
    <t>CLM_PTCH_GRP_SGNTR_MBR</t>
  </si>
  <si>
    <t>CLM_PTCH_CD</t>
  </si>
  <si>
    <t>NCH Patch Applied Date</t>
  </si>
  <si>
    <t xml:space="preserve">NCH_PATCH_APPLY_DT_L          </t>
  </si>
  <si>
    <t>CLM_PTCH_APPLY_DT</t>
  </si>
  <si>
    <t>MCO Period Group (up to 2 occurrences)</t>
  </si>
  <si>
    <t>NCH MCO Trailer Indicator Code</t>
  </si>
  <si>
    <t xml:space="preserve">NCH_MCO_TRLR_IND_CD_L      </t>
  </si>
  <si>
    <t>MCO Contract Number</t>
  </si>
  <si>
    <t xml:space="preserve">MCO_CNTRCT_NUM_L              </t>
  </si>
  <si>
    <t>The first occurrence is placed in CLM_MCO_1ST_CNTRCT_NUM the second in CLM_MCO_2ND_CNTRCT_NUM</t>
  </si>
  <si>
    <t>CLM_MCO_1ST_CNTRCT_NUM thru CLM_MCO_2ND_CNTRCT_NUM</t>
  </si>
  <si>
    <t>MCO Option Code</t>
  </si>
  <si>
    <t xml:space="preserve">MCO_OPTN_CD_L                 </t>
  </si>
  <si>
    <t>CLM_MCO_OPTN_CD</t>
  </si>
  <si>
    <t>The first occurrence is placed in CLM_MCO_1ST_OPTN_CD the second in CLM_MCO_2ND_OPTN_CD</t>
  </si>
  <si>
    <t>CLM_MCO_1ST_OPTN_CD thru CLM_MCO_2ND_OPTN_CD</t>
  </si>
  <si>
    <t>MCO Period Effective Date</t>
  </si>
  <si>
    <t xml:space="preserve">MCO_PRD_EFCTV_DT_L            </t>
  </si>
  <si>
    <t>The first occurrence is placed in CLM_MCO_1ST_PRD_BGN_DT the second in CLM_MCO_2ND_PRD_BGN_DT</t>
  </si>
  <si>
    <t>CLM_MCO_1ST_PRD_BGN_DT thru CLM_MCO_2ND_PRD_BGN_DT</t>
  </si>
  <si>
    <t>MCO Period Termination Date</t>
  </si>
  <si>
    <t xml:space="preserve">MCO_PRD_TRMNTN_DT_L           </t>
  </si>
  <si>
    <t>The first occurrence is placed in CLM_MCO_1ST_PRD_END_DT the second in CLM_MCO_2ND_PRD_END_DT</t>
  </si>
  <si>
    <t>CLM_MCO_1ST_PRD_END_DT thru CLM_MCO_2ND_PRD_END_DT</t>
  </si>
  <si>
    <t>MCO Health PlanID Number</t>
  </si>
  <si>
    <t xml:space="preserve">MCO_HLTH_PLANID_NUM_L         </t>
  </si>
  <si>
    <t>The first occurrence is placed in CLM_MCO_1ST_HLTH_PLAN_ID the second in CLM_MCO_2ND_HLTH_PLAN_ID</t>
  </si>
  <si>
    <t>CLM_MCO_1ST_HLTH_PLAN_ID thru CLM_MCO_2ND_HLTH_PLAN_ID</t>
  </si>
  <si>
    <t>Claim Demonstration Identification Group (up to 5 occurrences)</t>
  </si>
  <si>
    <t>NCH Demonstration Trailer Indicator Code</t>
  </si>
  <si>
    <t xml:space="preserve">NCH_DEMO_TRLR_IND_CD_L        </t>
  </si>
  <si>
    <t>Claim Demonstration Identification Number</t>
  </si>
  <si>
    <t xml:space="preserve">CLM_DEMO_ID_NUM_L             </t>
  </si>
  <si>
    <t>The first occurrence is placed in CLM_DEMO_1ST_NUM the second in CLM_DEMO_2ND_NUM and so on until the fifth</t>
  </si>
  <si>
    <t>CLM_DEMO_1ST_NUM thru CLM_DEMO_5TH_NUM</t>
  </si>
  <si>
    <t>Claim Demonstration Information Text</t>
  </si>
  <si>
    <t xml:space="preserve">CLM_DEMO_INFO_TXT_L           </t>
  </si>
  <si>
    <t>The first occurrence is placed in CLM_DEMO_INFO_1_DESC the second in CLM_DEMO_INFO_2_DESC and so on until the fifth</t>
  </si>
  <si>
    <t>CLM_DEMO_INFO_1_DESC thru CLM_DEMO_INFO_5_DESC</t>
  </si>
  <si>
    <t>Carrier Claim Diagnosis Group (up to 12 occurrences)</t>
  </si>
  <si>
    <t>NCH Diagnosis Trailer Indicator Code</t>
  </si>
  <si>
    <t xml:space="preserve">NCH_DGNS_TRLR_IND_CD_L        </t>
  </si>
  <si>
    <t>Claim Diagnosis Version Code</t>
  </si>
  <si>
    <t xml:space="preserve">CLM_DGNS_VRSN_CD_L                 </t>
  </si>
  <si>
    <t>Set CLM_PROD.CLM_PROD_TYPE_CD = ''D'' and CLM_PROD.CLM_VAL_SQNC_NUM = 1 to N (Based on # of source occurrences)</t>
  </si>
  <si>
    <t>Claim Diagnosis Code</t>
  </si>
  <si>
    <t>CLM_DGNS_CD_L</t>
  </si>
  <si>
    <t>The first occurrence is placed in CLM_DGNS_1_CD the second in CLM_DGNS_2_CD and so on until the tenth</t>
  </si>
  <si>
    <t>CLM_DGNS_1_CD thru CLM_DGNS_10_CD</t>
  </si>
  <si>
    <t>Carrier Line Item Group (up to 13 occurrences)</t>
  </si>
  <si>
    <t>NCH Line Item Trailer Indicator Code</t>
  </si>
  <si>
    <t xml:space="preserve">NCH_LINE_TRLR_IND_CD_L        </t>
  </si>
  <si>
    <t>Carrier Line Performing Pin Number</t>
  </si>
  <si>
    <t xml:space="preserve">CARR_LINE_PRFRMG_PIN_NUM_L    </t>
  </si>
  <si>
    <t>CLM_RNDRG_PRVDR_PIN_NUM</t>
  </si>
  <si>
    <t>Carrier Line Performing UPIN Number</t>
  </si>
  <si>
    <t xml:space="preserve">CARR_LINE_PRFRMG_UPIN_NUM_L   </t>
  </si>
  <si>
    <t>CLM_RNDRG_PRVDR_UPIN_NUM</t>
  </si>
  <si>
    <t>Carrier Line Performing NPI Number</t>
  </si>
  <si>
    <t xml:space="preserve">CARR_LINE_PRFRMG_NPI_NUM_L    </t>
  </si>
  <si>
    <t>PRVDR_RNDRNG_PRVDR_NPI_NUM</t>
  </si>
  <si>
    <t>CLM_RNDRG_PRVDR_NPI_NUM</t>
  </si>
  <si>
    <t>Carrier Line Performing Group NPI Number</t>
  </si>
  <si>
    <t>CARR_LINE_PRFRMG_GRP_NPI_NUM_L</t>
  </si>
  <si>
    <t>CLM_RNDRG_PRVDR_GRP_NPI_NUM</t>
  </si>
  <si>
    <t>PRVDR_RNDRNG_PRVDR_GRP_NPI_NUM</t>
  </si>
  <si>
    <t>Carrier Line Provider Type Code</t>
  </si>
  <si>
    <t xml:space="preserve">CARR_LINE_PRVDR_TYPE_CD_L     </t>
  </si>
  <si>
    <t>CLM_RNDRG_PRVDR_TYPE_CD</t>
  </si>
  <si>
    <t>Line Provider Tax Number</t>
  </si>
  <si>
    <t xml:space="preserve">LINE_PRVDR_TAX_NUM_L          </t>
  </si>
  <si>
    <t>CLM_RNDRG_PRVDR_TAX_NUM</t>
  </si>
  <si>
    <t>Line NCH Provider State Code</t>
  </si>
  <si>
    <t xml:space="preserve">LINE_NCH_PRVDR_STATE_CD_L     </t>
  </si>
  <si>
    <t>GEO_RNDRG_SSA_STATE_CD</t>
  </si>
  <si>
    <t>Carrier Line Performing Provider Zip Code</t>
  </si>
  <si>
    <t>CARR_LNE_PRFRMG_PRVDR_ZIP_CD_L</t>
  </si>
  <si>
    <t>Lookup substr(CARR_LNE_PRFRMG_PRVDR_ZIP_CD_L,1,5) against GEO if not found 0</t>
  </si>
  <si>
    <t>GEO_RNDRG_SK</t>
  </si>
  <si>
    <t>substr(CARR_LNE_PRFRMG_PRVDR_ZIP_CD_L,1,5)</t>
  </si>
  <si>
    <t>CLM_RNDRG_PRVDR_ZIP5_CD</t>
  </si>
  <si>
    <t>substr(CARR_LNE_PRFRMG_PRVDR_ZIP_CD_L,6,4)</t>
  </si>
  <si>
    <t>GEO_RNDRG_ZIP4_CD</t>
  </si>
  <si>
    <t>Line HCFA Provider Specialty Code</t>
  </si>
  <si>
    <t xml:space="preserve">LINE_HCFA_PRVDR_SPCLTY_CD_L   </t>
  </si>
  <si>
    <t>CLM_RNDRG_FED_PRVDR_SPCLTY_CD</t>
  </si>
  <si>
    <t>Carrier Line Provider Specialty Code</t>
  </si>
  <si>
    <t xml:space="preserve">CARR_LINE_PRVDR_SPCLTY_CD_L   </t>
  </si>
  <si>
    <t>CLM_LINE_PRFNL</t>
  </si>
  <si>
    <t>CLM_PRVDR_SPCLTY_CD</t>
  </si>
  <si>
    <t>Line Provider Participating Indicator Code</t>
  </si>
  <si>
    <t xml:space="preserve">LINE_PRVDR_PRTCPTG_IND_CD_L   </t>
  </si>
  <si>
    <t>CLM_RNDRG_PRVDR_PRTCPTG_CD</t>
  </si>
  <si>
    <t>Carrier Line Reduced Payment Physician Assistant Code</t>
  </si>
  <si>
    <t>CARR_LNE_RDCD_PHYSN_ASTNT_CD_L</t>
  </si>
  <si>
    <t>CLM_PHYSN_ASTNT_CD</t>
  </si>
  <si>
    <t>Line Service Count</t>
  </si>
  <si>
    <t xml:space="preserve">LINE_SRVC_CNT_L               </t>
  </si>
  <si>
    <t>CLM_LINE_SRVC_UNIT_QTY</t>
  </si>
  <si>
    <t>Sum(LINE_SRVC_CNT_L) and CLM.CLM_DRVD_HDR_IND = ''Y''</t>
  </si>
  <si>
    <t>CLM_SRVC_UNIT_QTY</t>
  </si>
  <si>
    <t>Stopped populating in December 2013 because different units of measure should not be summed</t>
  </si>
  <si>
    <t>Line HCFA Type Service Code</t>
  </si>
  <si>
    <t xml:space="preserve">LINE_HCFA_TYPE_SRVC_CD_L      </t>
  </si>
  <si>
    <t>CLM_FED_TYPE_SRVC_CD</t>
  </si>
  <si>
    <t>Carrier Line Type Service Code</t>
  </si>
  <si>
    <t xml:space="preserve">CARR_LINE_TYPE_SRVC_CD_L      </t>
  </si>
  <si>
    <t>CLM_TYPE_SRVC_CD</t>
  </si>
  <si>
    <t>Line Place Of Service Code</t>
  </si>
  <si>
    <t xml:space="preserve">LINE_PLC_SRVC_CD_L            </t>
  </si>
  <si>
    <t>CLM_POS_CD</t>
  </si>
  <si>
    <t>Carrier Line Pricing Locality Code</t>
  </si>
  <si>
    <t xml:space="preserve">CARR_LINE_PRCNG_LCLTY_CD_L    </t>
  </si>
  <si>
    <t>CLM_PRCNG_LCLTY_CD</t>
  </si>
  <si>
    <t>Line First Expense Date</t>
  </si>
  <si>
    <t xml:space="preserve">LINE_1ST_EXPNS_DT_L           </t>
  </si>
  <si>
    <t>CLM_LINE_FROM_DT</t>
  </si>
  <si>
    <t>Line Last Expense Date</t>
  </si>
  <si>
    <t xml:space="preserve">LINE_LAST_EXPNS_DT_L          </t>
  </si>
  <si>
    <t>CLM_LINE_THRU_DT</t>
  </si>
  <si>
    <t>Extract Year from LINE_LAST_EXPNS_DT_L</t>
  </si>
  <si>
    <t>CLNDR_CY_NUM</t>
  </si>
  <si>
    <t>Line HCPCS Code</t>
  </si>
  <si>
    <t xml:space="preserve">LINE_HCPCS_CD_L               </t>
  </si>
  <si>
    <t>CLM_LINE_HCPCS_CD</t>
  </si>
  <si>
    <t>Line HCPCS Initial Modifier Code</t>
  </si>
  <si>
    <t xml:space="preserve">LINE_HCPCS_INITL_MDFR_CD_L    </t>
  </si>
  <si>
    <t>HCPCS_1_MDFR_CD</t>
  </si>
  <si>
    <t>Line HCPCS Second Modifier Code</t>
  </si>
  <si>
    <t xml:space="preserve">LINE_HCPCS_2ND_MDFR_CD_L      </t>
  </si>
  <si>
    <t>HCPCS_2_MDFR_CD</t>
  </si>
  <si>
    <t>Line HCPCS Third Modifier Code</t>
  </si>
  <si>
    <t xml:space="preserve">LINE_HCPCS_3RD_MDFR_CD_L      </t>
  </si>
  <si>
    <t>HCPCS_3_MDFR_CD</t>
  </si>
  <si>
    <t>Line HCPCS Fourth Modifier Code</t>
  </si>
  <si>
    <t xml:space="preserve">LINE_HCPCS_4TH_MDFR_CD_L  </t>
  </si>
  <si>
    <t>HCPCS_4_MDFR_CD</t>
  </si>
  <si>
    <t>Line NCH BETOS Code</t>
  </si>
  <si>
    <t xml:space="preserve">LINE_NCH_BETOS_CD_L           </t>
  </si>
  <si>
    <t>Line IDE Number</t>
  </si>
  <si>
    <t xml:space="preserve">LINE_IDE_NUM_L                </t>
  </si>
  <si>
    <t>CLM_LINE_IDE_NUM</t>
  </si>
  <si>
    <t>Line National Drug Code</t>
  </si>
  <si>
    <t xml:space="preserve">LINE_NATL_DRUG_CD_L           </t>
  </si>
  <si>
    <t>CLM_LINE_NDC_CD</t>
  </si>
  <si>
    <t>Line NCH Payment Amount</t>
  </si>
  <si>
    <t xml:space="preserve">LINE_NCH_PMT_AMT_L            </t>
  </si>
  <si>
    <t>CLM_LINE_CVRD_PD_AMT</t>
  </si>
  <si>
    <t>Line Beneficiary Payment Amount</t>
  </si>
  <si>
    <t xml:space="preserve">LINE_BENE_PMT_AMT_L           </t>
  </si>
  <si>
    <t>CLM_LINE_BENE_PD_AMT</t>
  </si>
  <si>
    <t>Line Provider Payment Amount</t>
  </si>
  <si>
    <t xml:space="preserve">LINE_PRVDR_PMT_AMT_L          </t>
  </si>
  <si>
    <t>CLM_LINE_PRVDR_PMT_AMT</t>
  </si>
  <si>
    <t>Line Beneficiary Part B Deductible Amount</t>
  </si>
  <si>
    <t xml:space="preserve">LINE_BENE_PTB_DDCTBL_AMT_L    </t>
  </si>
  <si>
    <t>CLM_LINE_MDCR_DDCTBL_AMT</t>
  </si>
  <si>
    <t>Line Beneficiary Primary Payer Code</t>
  </si>
  <si>
    <t xml:space="preserve">LINE_BENE_PRMRY_PYR_CD_L      </t>
  </si>
  <si>
    <t>CLM_PRMRY_PYR_CD</t>
  </si>
  <si>
    <t>Line Beneficiary Primary Payer Paid Amount</t>
  </si>
  <si>
    <t xml:space="preserve">LINE_BENE_PRMRY_PYR_PD_AMT_L  </t>
  </si>
  <si>
    <t>CLM_BENE_PRMRY_PYR_PD_AMT</t>
  </si>
  <si>
    <t>Line Coinsurance Amount</t>
  </si>
  <si>
    <t xml:space="preserve">LINE_COINSRNC_AMT_L           </t>
  </si>
  <si>
    <t>CLM_LINE_MDCR_COINSRNC_AMT</t>
  </si>
  <si>
    <t>Carrier Line Psychiatric, Occupational Therapy, Physical Therapy Amount</t>
  </si>
  <si>
    <t>CARR_LNE_PSYCH_OT_PT_LMT_AMT_L</t>
  </si>
  <si>
    <t>CLM_LINE_CARR_PSYCH_OT_LMT_AMT</t>
  </si>
  <si>
    <t>Line Interest Amount</t>
  </si>
  <si>
    <t xml:space="preserve">LINE_INTRST_AMT_L             </t>
  </si>
  <si>
    <t>CLM_LINE_PRFNL_INTRST_AMT</t>
  </si>
  <si>
    <t>Line Primary Payer Allowed Charge Amount</t>
  </si>
  <si>
    <t xml:space="preserve">LINE_PRMRY_PYR_ALW_CHRG_AMT_L </t>
  </si>
  <si>
    <t>CLM_MDCR_PRMRY_PYR_ALOWD_AMT</t>
  </si>
  <si>
    <t>Line 10% Penalty Reduction Amount</t>
  </si>
  <si>
    <t xml:space="preserve">LINE_10PCT_PNLTY_RDCTN_AMT_L  </t>
  </si>
  <si>
    <t>CLM_LINE_PRFNL_PNLTY_AMT</t>
  </si>
  <si>
    <t>Carrier Line Blood Deductible Pints Quantity</t>
  </si>
  <si>
    <t xml:space="preserve">CARR_LINE_BLOOD_DDCTBL_QTY_L  </t>
  </si>
  <si>
    <t>CLM_LINE_PTB_BLOOD_DDCTBL_QTY</t>
  </si>
  <si>
    <t>Line Submitted Charge Amount</t>
  </si>
  <si>
    <t xml:space="preserve">LINE_SBMT_CHRG_AMT_L          </t>
  </si>
  <si>
    <t>CLM_LINE_SBMT_CHRG_AMT</t>
  </si>
  <si>
    <t>Line Allowed Charge Amount</t>
  </si>
  <si>
    <t xml:space="preserve">LINE_ALOW_CHRG_AMT_L          </t>
  </si>
  <si>
    <t>CLM_LINE_ALOWD_CHRG_AMT</t>
  </si>
  <si>
    <t>Carrier Line Clinical Lab Number</t>
  </si>
  <si>
    <t xml:space="preserve">CARR_LINE_CLNCL_LAB_NUM_L     </t>
  </si>
  <si>
    <t>CLM_LINE_CARR_CLNCL_LAB_NUM</t>
  </si>
  <si>
    <t>Carrier Line Clinical Lab Charge Amount</t>
  </si>
  <si>
    <t>CARR_LINE_CLNCL_LAB_CHRG_AMT_L</t>
  </si>
  <si>
    <t>CLM_LINE_CARR_CLNCL_CHRG_AMT</t>
  </si>
  <si>
    <t>Line Processing Indicator Code</t>
  </si>
  <si>
    <t xml:space="preserve">LINE_PRCSG_IND_CD_L           </t>
  </si>
  <si>
    <t>CLM_PRCSG_IND_CD</t>
  </si>
  <si>
    <t>Line Payment 80%/100% Code</t>
  </si>
  <si>
    <t xml:space="preserve">LINE_PMT_80_100_CD_L          </t>
  </si>
  <si>
    <t>CLM_PMT_80_100_CD</t>
  </si>
  <si>
    <t>Line Service Deductible Indicator Switch</t>
  </si>
  <si>
    <t xml:space="preserve">LINE_SRVC_DDCTBL_IND_SW_L     </t>
  </si>
  <si>
    <t>CLM_SRVC_DDCTBL_SW</t>
  </si>
  <si>
    <t>Line Payment Indicator Code</t>
  </si>
  <si>
    <t xml:space="preserve">LINE_PMT_IND_CD_L             </t>
  </si>
  <si>
    <t>CLM_PMT_IND_CD</t>
  </si>
  <si>
    <t>Carrier Line Miles/Time/Units/Services Count</t>
  </si>
  <si>
    <t xml:space="preserve">CARR_LINE_MTUS_CNT_L          </t>
  </si>
  <si>
    <t>CLM_LINE_PRFNL_MTUS_CNT</t>
  </si>
  <si>
    <t>Carrier Line Miles/Time/Units/Services Indicator Code</t>
  </si>
  <si>
    <t xml:space="preserve">CARR_LINE_MTUS_IND_CD_L       </t>
  </si>
  <si>
    <t>CLM_MTUS_IND_CD</t>
  </si>
  <si>
    <t>Line Diagnosis Code Group</t>
  </si>
  <si>
    <t>Line Diagnosis Version Code</t>
  </si>
  <si>
    <t xml:space="preserve">LINE_DGNS_VRSN_CD_L  </t>
  </si>
  <si>
    <r>
      <t>N</t>
    </r>
    <r>
      <rPr>
        <sz val="8"/>
        <rFont val="Arial"/>
        <family val="2"/>
      </rPr>
      <t>ot Populated</t>
    </r>
  </si>
  <si>
    <t>Line Diagnosis Code</t>
  </si>
  <si>
    <t xml:space="preserve">LINE_DGNS_CD_L                </t>
  </si>
  <si>
    <t>CLM_LINE_DGNS_CD</t>
  </si>
  <si>
    <t>Carrier Line Anesthesia Base Unit Count</t>
  </si>
  <si>
    <t xml:space="preserve">CARR_LINE_ANSTHSA_UNIT_CNT_L  </t>
  </si>
  <si>
    <t>CLM_LINE_ANSTHSA_UNIT_CNT</t>
  </si>
  <si>
    <t>Carrier Line CLIA Alert Indicator Code</t>
  </si>
  <si>
    <t xml:space="preserve">CARR_LINE_CLIA_ALERT_IND_CD_L </t>
  </si>
  <si>
    <t>CLM_CLIA_ALERT_IND_CD</t>
  </si>
  <si>
    <t>Line Additional Claim Documentation Indicator Code</t>
  </si>
  <si>
    <t>LINE_ADDTNL_CLM_DCMTN_IND_CD_L</t>
  </si>
  <si>
    <t>CLM_ADDTNL_DCMTN_CD</t>
  </si>
  <si>
    <t>Carrier Line DME Coverage Period Start Date</t>
  </si>
  <si>
    <t>CARR_LNE_DME_CVG_PRD_STRT_DT_L</t>
  </si>
  <si>
    <t>CLM_LINE_CARR_DME_CVRG_BGN_DT</t>
  </si>
  <si>
    <t>Line DME Purchase Price Amount</t>
  </si>
  <si>
    <t xml:space="preserve">LINE_DME_PURC_PRICE_AMT_L     </t>
  </si>
  <si>
    <t>CLM_LINE_PRFNL_DME_PRICE_AMT</t>
  </si>
  <si>
    <t>Carrier Line DME Medical Necessity Month Count</t>
  </si>
  <si>
    <t xml:space="preserve">CARR_LINE_DME_NCSTY_MO_CNT_L  </t>
  </si>
  <si>
    <t>CLM_LINE_CARR_DME_NCSTY_MO_CNT</t>
  </si>
  <si>
    <t>Line Consolidated Billing Indicator Code</t>
  </si>
  <si>
    <t xml:space="preserve">LINE_CNSLDTD_BLG_CD_L         </t>
  </si>
  <si>
    <t>CLM_CNSLDTD_BLG_CD</t>
  </si>
  <si>
    <t>Line Duplicate Claim Check Indicator Code</t>
  </si>
  <si>
    <t xml:space="preserve">LINE_DUP_CLM_CHK_IND_CD_L     </t>
  </si>
  <si>
    <t>CLM_DUP_CHK_IND_CD</t>
  </si>
  <si>
    <t>Carrier Line Point of Pickup Zip Code</t>
  </si>
  <si>
    <t xml:space="preserve">CARR_LINE_PNT_PCKP_ZIP_CD_L (was CARR_LINE_POP_POS_ZIP_CD_L after CR 7) </t>
  </si>
  <si>
    <t>Lookup substr(CARR_LINE_PNT_PCKP_ZIP_CD_L,1,5) against GEO if not found 0</t>
  </si>
  <si>
    <t>GEO_PTNT_PCKP_SK</t>
  </si>
  <si>
    <t>substr(CARR_LINE_PNT_PCKP_ZIP_CD_L,1,5)</t>
  </si>
  <si>
    <t>CLM_PTNT_PCKP_ZIP5_CD</t>
  </si>
  <si>
    <t>substr(CARR_LINE_PNT_PCKP_ZIP_CD_L,6,4)</t>
  </si>
  <si>
    <t>GEO_PTNT_PCKP_ZIP4_CD</t>
  </si>
  <si>
    <t>Carrier Line Point of Drop Off Zip Code</t>
  </si>
  <si>
    <t>CARR_LINE_DROP_OFF_ZIP_CD_L</t>
  </si>
  <si>
    <t>Lookup substr(CARR_LINE_DROP_OFF_ZIP_CD_L,1,5) against GEO if not found 0</t>
  </si>
  <si>
    <t>GEO_DROP_OFF_SK</t>
  </si>
  <si>
    <t>substr(CARR_LINE_DROP_OFF_ZIP_CD_L,1,5)</t>
  </si>
  <si>
    <t>CLM_DROP_OFF_ZIP5_CD</t>
  </si>
  <si>
    <t>substr(CARR_LINE_DROP_OFF_ZIP_CD_L,6,4)</t>
  </si>
  <si>
    <t>GEO_DROP_OFF_ZIP4_CD</t>
  </si>
  <si>
    <t>Carrier Line HPSA/Scarcity Indicator Code</t>
  </si>
  <si>
    <t>CARR_LINE_HPSA_SCRCTY_IND_CD_L</t>
  </si>
  <si>
    <t>CLM_LINE_CARR_HPSA_SCRCTY_CD</t>
  </si>
  <si>
    <t>Carrier Line RX Number</t>
  </si>
  <si>
    <t xml:space="preserve">CARR_LINE_RX_NUM_L            </t>
  </si>
  <si>
    <t>CLM_LINE_RX_NUM</t>
  </si>
  <si>
    <t>Line Hematocrit/Hemoglobin Test Type Code</t>
  </si>
  <si>
    <t xml:space="preserve">LINE_HCT_HGB_TYPE_CD_L        </t>
  </si>
  <si>
    <t>CLM_LINE_HCT_HGB_TYPE_CD</t>
  </si>
  <si>
    <t>Line Hematocrit/Hemoglobin Test Result</t>
  </si>
  <si>
    <t xml:space="preserve">LINE_HCT_HGB_RSLT_NUM_L       </t>
  </si>
  <si>
    <t>CLM_LINE_HCT_HGB_RSLT_NUM</t>
  </si>
  <si>
    <t>Worker''s Compensation Indicator Code</t>
  </si>
  <si>
    <t xml:space="preserve">LINE_WC_IND_CD_L              </t>
  </si>
  <si>
    <t>CLM_LINE_PRFNL_WC_IND</t>
  </si>
  <si>
    <t>Line PWK Code</t>
  </si>
  <si>
    <t>LINE_PWK_CD</t>
  </si>
  <si>
    <t xml:space="preserve">CLM_LINE_DCMTN_CD </t>
  </si>
  <si>
    <t>Line Unique Tracking Number</t>
  </si>
  <si>
    <t>LINE_UNIQ_TRKNG_NUM</t>
  </si>
  <si>
    <t>CLM_LINE_PMD_UNIQ_TRKNG_NUM</t>
  </si>
  <si>
    <t>Column will carry any type of unique tracking number.</t>
  </si>
  <si>
    <t>was</t>
  </si>
  <si>
    <t>Line Power Mobility Device (PMD) Unique Tracking Device Number</t>
  </si>
  <si>
    <t>Line Place of Service Physician/Organization Name (if Physician - Last Name)</t>
  </si>
  <si>
    <t>LINE_POS_PHYSN_ORG_NAME</t>
  </si>
  <si>
    <t>CLM_POS_PHYSN_ORG_NAME</t>
  </si>
  <si>
    <t>Line Place of Service First Name</t>
  </si>
  <si>
    <t>LINE_POS_PHYSN_1ST_NAME</t>
  </si>
  <si>
    <t>CLM_POS_PRVDR_1ST_NAME</t>
  </si>
  <si>
    <t>Line Place of Service Middle Name</t>
  </si>
  <si>
    <t>LINE_POS_PHYSN_MDL_NAME</t>
  </si>
  <si>
    <t>CLM_POS_PRVDR_MDL_NAME</t>
  </si>
  <si>
    <t>Line Place of Service Address Line 1 Name</t>
  </si>
  <si>
    <t>LINE_POS_PHYSN_ADR_1_NAME</t>
  </si>
  <si>
    <t>CLM_POS_PRVDR_1ST_LINE_ADR</t>
  </si>
  <si>
    <t>Line Place of Service Address Line 2 Name</t>
  </si>
  <si>
    <t>LINE_POS_PHYSN_ADR_2_NAME</t>
  </si>
  <si>
    <t>CLM_POS_PRVDR_2ND_LINE_ADR</t>
  </si>
  <si>
    <t>Line Place of Service City Name</t>
  </si>
  <si>
    <t>LINE_POS_PHYSN_CITY_NAME</t>
  </si>
  <si>
    <t>CLM_POS_PRVDR_CITY_NAME</t>
  </si>
  <si>
    <t>Line Place of Service State Code</t>
  </si>
  <si>
    <t>LINE_POS_PHYSN_STATE_CD</t>
  </si>
  <si>
    <t>CLM_POS_PRVDR_USPS_STATE_CD</t>
  </si>
  <si>
    <t>Line Place of Service Zip Code</t>
  </si>
  <si>
    <t>LINE_POS_PHYSN_ZIP_CD</t>
  </si>
  <si>
    <t>substr(LINE_POS_PHYSN_ZIP_CD,1,5)</t>
  </si>
  <si>
    <t>CLM_POS_PRVDR_ZIP5_CD</t>
  </si>
  <si>
    <t>substr(LINE_POS_PHYSN_ZIP_CD,6,4)</t>
  </si>
  <si>
    <t>CLM_POS_PRVDR_ZIP4_CD</t>
  </si>
  <si>
    <t>Line Other Applied Indicator 1 Code</t>
  </si>
  <si>
    <t>LINE_OTHR_APLD_IND_1_CD</t>
  </si>
  <si>
    <t>Set CLM_LINE_OTHR_APLD.CLM_LINE_OTHR_APLD_SQNC_NUM = 1 when Not NULL or SPACES</t>
  </si>
  <si>
    <t>CLM_LINE_OTHR_APLD</t>
  </si>
  <si>
    <t>CLM_LINE_OTHR_APLD_CD</t>
  </si>
  <si>
    <t>Line Other Applied Indicator 2 Code</t>
  </si>
  <si>
    <t>LINE_OTHR_APLD_IND_2_CD</t>
  </si>
  <si>
    <t>Set CLM_LINE_OTHR_APLD.CLM_LINE_OTHR_APLD_SQNC_NUM = 2 when Not NULL or SPACES</t>
  </si>
  <si>
    <t>Line Other Applied Indicator 3 Code</t>
  </si>
  <si>
    <t>LINE_OTHR_APLD_IND_3_CD</t>
  </si>
  <si>
    <t>Set CLM_LINE_OTHR_APLD.CLM_LINE_OTHR_APLD_SQNC_NUM = 3 when Not NULL or SPACES</t>
  </si>
  <si>
    <t>Line Other Applied Indicator 4 Code</t>
  </si>
  <si>
    <t>LINE_OTHR_APLD_IND_4_CD</t>
  </si>
  <si>
    <t>Set CLM_LINE_OTHR_APLD.CLM_LINE_OTHR_APLD_SQNC_NUM = 4 when Not NULL or SPACES</t>
  </si>
  <si>
    <t>Line Other Applied Indicator 5 Code</t>
  </si>
  <si>
    <t>LINE_OTHR_APLD_IND_5_CD</t>
  </si>
  <si>
    <t>Set CLM_LINE_OTHR_APLD.CLM_LINE_OTHR_APLD_SQNC_NUM = 5 when Not NULL or SPACES</t>
  </si>
  <si>
    <t>Line Other Applied Indicator 6 Code</t>
  </si>
  <si>
    <t>LINE_OTHR_APLD_IND_6_CD</t>
  </si>
  <si>
    <t>Set CLM_LINE_OTHR_APLD.CLM_LINE_OTHR_APLD_SQNC_NUM = 6 when Not NULL or SPACES</t>
  </si>
  <si>
    <t>Line Other Applied Indicator 7 Code</t>
  </si>
  <si>
    <t>LINE_OTHR_APLD_IND_7_CD</t>
  </si>
  <si>
    <t>Set CLM_LINE_OTHR_APLD.CLM_LINE_OTHR_APLD_SQNC_NUM = 7 when Not NULL or SPACES</t>
  </si>
  <si>
    <t>Line Other Applied 1 Amount</t>
  </si>
  <si>
    <t>LINE_OTHR_APLD_1_AMT</t>
  </si>
  <si>
    <t>CLM_LINE_OTHR_APLD_AMT</t>
  </si>
  <si>
    <t>Line Other Applied 2 Amount</t>
  </si>
  <si>
    <t>LINE_OTHR_APLD_2_AMT</t>
  </si>
  <si>
    <t>Line Other Applied 3 Amount</t>
  </si>
  <si>
    <t>LINE_OTHR_APLD_3_AMT</t>
  </si>
  <si>
    <t>Line Other Applied 4 Amount</t>
  </si>
  <si>
    <t>LINE_OTHR_APLD_4_AMT</t>
  </si>
  <si>
    <t>Line Other Applied 5 Amount</t>
  </si>
  <si>
    <t>LINE_OTHR_APLD_5_AMT</t>
  </si>
  <si>
    <t>Line Other Applied 6 Amount</t>
  </si>
  <si>
    <t>LINE_OTHR_APLD_6_AMT</t>
  </si>
  <si>
    <t>Line Other Applied 7 Amount</t>
  </si>
  <si>
    <t>LINE_OTHR_APLD_7_AMT</t>
  </si>
  <si>
    <t>Line Therapy CAP Indicator 1 Code</t>
  </si>
  <si>
    <t>LINE_THRPY_CAP_IND_1_CD</t>
  </si>
  <si>
    <t>CLM_LINE_DCMTN</t>
  </si>
  <si>
    <t>CLM_LINE_THRPY_CAP_IND_1_CD</t>
  </si>
  <si>
    <t>Line Therapy CAP Indicator 2 Code</t>
  </si>
  <si>
    <t>LINE_THRPY_CAP_IND_2_CD</t>
  </si>
  <si>
    <t>CLM_LINE_THRPY_CAP_IND_2_CD</t>
  </si>
  <si>
    <t>Line Therapy CAP Indicator 3 Code</t>
  </si>
  <si>
    <t>LINE_THRPY_CAP_IND_3_CD</t>
  </si>
  <si>
    <t>CLM_LINE_THRPY_CAP_IND_3_CD</t>
  </si>
  <si>
    <t>Line Therapy CAP Indicator 4 Code</t>
  </si>
  <si>
    <t>LINE_THRPY_CAP_IND_4_CD</t>
  </si>
  <si>
    <t>CLM_LINE_THRPY_CAP_IND_4_CD</t>
  </si>
  <si>
    <t>Line Therapy CAP Indicator 5 Code</t>
  </si>
  <si>
    <t>LINE_THRPY_CAP_IND_5_CD</t>
  </si>
  <si>
    <t>CLM_LINE_THRPY_CAP_IND_5_CD</t>
  </si>
  <si>
    <t>Line FPS Model Number</t>
  </si>
  <si>
    <t>LINE_FPS_MODEL_NUM</t>
  </si>
  <si>
    <t>CLM_LINE_FPS_MODEL_NUM</t>
  </si>
  <si>
    <t>Line FPS Reason Code</t>
  </si>
  <si>
    <t>LINE_FPS_RSN_CD</t>
  </si>
  <si>
    <t>CLM_LINE_FPS_RSN_CD</t>
  </si>
  <si>
    <t>Line FPS Remarks Code</t>
  </si>
  <si>
    <t>LINE_FPS_RMRK_CD</t>
  </si>
  <si>
    <t>CLM_LINE_FPS_RMRK_CD</t>
  </si>
  <si>
    <t>Line FPS MSN Code 1</t>
  </si>
  <si>
    <t>LINE_FPS_MSN_1_CD</t>
  </si>
  <si>
    <t>CLM_LINE_FPS_MSN_1_CD</t>
  </si>
  <si>
    <t>Line FPS MSN Code 2</t>
  </si>
  <si>
    <t>LINE_FPS_MSN_2_CD</t>
  </si>
  <si>
    <t>CLM_LINE_FPS_MSN_2_CD</t>
  </si>
  <si>
    <t>Carrier Claim NPI Assoc Code</t>
  </si>
  <si>
    <t>LINE_RNDRNG_BLG_NPI_ASCTN_CD</t>
  </si>
  <si>
    <t>CLM_RNDRNG_NPI_IN_BLG_GRP_SW</t>
  </si>
  <si>
    <t>CR 8 - October 2013</t>
  </si>
  <si>
    <t>Line Prior Authorization Indicator Code</t>
  </si>
  <si>
    <t>LINE_PRIOR_AUTHRZTN_IND_CD</t>
  </si>
  <si>
    <t>CLM_LINE_PA_IND_CD</t>
  </si>
  <si>
    <t>CR 9 - October 2014</t>
  </si>
  <si>
    <t>Started populating in CLM_LINE_DCMTN in Jan 2017 including history</t>
  </si>
  <si>
    <t xml:space="preserve">Line Next Generation Accountable Care Organization Indicator  Code  </t>
  </si>
  <si>
    <t>LINE_NG_ACO_IND_1_CD, LINE_NG_ACO_IND_2_CD,</t>
  </si>
  <si>
    <t>Set to 'Y' if any of the LINE_NG_ACO_IND_*_CD contains '1'. Set to 'N' if  ‘74’ or '89' is found in any of the CLM_DCMTN .CLM_DEMO_1ST_NUM through  CLM_DEMO_5TH_NUM columns, and none of the LINE_NG_ACO_IND_*_CD columns contain '1'.</t>
  </si>
  <si>
    <t>CLM_LINE_NGACO_PBPMT_SW</t>
  </si>
  <si>
    <t>CR11 - January 2016</t>
  </si>
  <si>
    <t>Actual value submitted by NCH will map to the first available BEI column ( CLM_LINE_BNFT_ENHNCMT_*_CD) in the target table .</t>
  </si>
  <si>
    <t>LINE_NG_ACO_IND_3_CD,</t>
  </si>
  <si>
    <t>CR 34182 - February 2019</t>
  </si>
  <si>
    <t>LINE_NG_ACO_IND_4_CD,</t>
  </si>
  <si>
    <t>LINE_NG_ACO_IND_5_CD</t>
  </si>
  <si>
    <t>CLM_LINE_BNFT_ENHNCMT_1_CD</t>
  </si>
  <si>
    <t>CR 918945 - September 2018</t>
  </si>
  <si>
    <t>CLM_LINE_BNFT_ENHNCMT_2_CD</t>
  </si>
  <si>
    <t>CR 83383 - October 2021</t>
  </si>
  <si>
    <t>CLM_LINE_BNFT_ENHNCMT_3_CD</t>
  </si>
  <si>
    <t>CLM_LINE_BNFT_ENHNCMT_4_CD</t>
  </si>
  <si>
    <t>CLM_LINE_BNFT_ENHNCMT_5_CD</t>
  </si>
  <si>
    <t>Set to 'Y' if any of the LINE_NG_ACO_IND_*_CD contains '2'. Set to 'N' if  ‘74’ or '89' is found in any of the CLM_DCMTN .CLM_DEMO_1ST_NUM through  CLM_DEMO_5TH_NUM columns, and none of the LINE_NG_ACO_IND_*_CD columns contain '2'.</t>
  </si>
  <si>
    <t>CLM_LINE_NGACO_TLHLTH_SW</t>
  </si>
  <si>
    <t>Set to 'Y' if any of the LINE_NG_ACO_IND_*_CD contains '3'. Set to 'N' if  ‘74’ or '89' is found in any of the CLM_DCMTN .CLM_DEMO_1ST_NUM through  CLM_DEMO_5TH_NUM columns, and none of the LINE_NG_ACO_IND_*_CD columns contain '3'.</t>
  </si>
  <si>
    <t>CLM_LINE_NGACO_PDSCHRG_HCBS_SW</t>
  </si>
  <si>
    <t>Set to 'Y' if any of the LINE_NG_ACO_IND_*_CD contains '4'. Set to 'N' if  ‘74’ or '89' is found in any of the CLM_DCMTN .CLM_DEMO_1ST_NUM through  CLM_DEMO_5TH_NUM columns, and none of the LINE_NG_ACO_IND_*_CD columns contain '4'.</t>
  </si>
  <si>
    <t>CLM_LINE_NGACO_SNF_WVR_SW</t>
  </si>
  <si>
    <t>Set to 'Y' if any of the LINE_NG_ACO_IND_*_CD contains '5'. Set to 'N' if  ‘74’ or '89' is found in any of the CLM_DCMTN .CLM_DEMO_1ST_NUM through  CLM_DEMO_5TH_NUM columns, and none of the LINE_NG_ACO_IND_*_CD columns contain '5'.</t>
  </si>
  <si>
    <t>CLM_LINE_NGACO_CPTATN_SW</t>
  </si>
  <si>
    <t>Set to 'Y' if any of the LINE_NG_ACO_IND_*_CD contains '6'. Set to 'N' if  ‘85’ is found in any of the CLM_DCMTN .CLM_DEMO_1ST_NUM through  CLM_DEMO_5TH_NUM columns, and none of the CLM_NG_ACO_IND_*_CD columns contain '6'.</t>
  </si>
  <si>
    <t>CLM_LINE_CEC_TLHLTH_SW</t>
  </si>
  <si>
    <t>Actual value submitted by NCH will map to the corresponding NK_HIST column which aligns with the submitted source field.</t>
  </si>
  <si>
    <t>Set to 'Y' if any of the LINE_NG_ACO_IND_*_CD contains '7'. Set to 'N' if  ‘85’ is found in any of the CLM_DCMTN .CLM_DEMO_1ST_NUM through  CLM_DEMO_5TH_NUM columns, and none of the CLM_NG_ACO_IND_*_CD columns contain '7'.</t>
  </si>
  <si>
    <t>CLM_LINE_ACO_CARE_MGMT_HCBS_SW</t>
  </si>
  <si>
    <t>Line Representative Payee Indicator Code</t>
  </si>
  <si>
    <t>LINE_RP_IND_CD</t>
  </si>
  <si>
    <t>CLM_PA_RP_EXCLSN_CD</t>
  </si>
  <si>
    <t>Started populating in CLM_LINE_DCMTN in Nov 2019 including history</t>
  </si>
  <si>
    <t>Line Residual Payment Indicator Code</t>
  </si>
  <si>
    <t>LINE_RSDL_PMT_IND_CD</t>
  </si>
  <si>
    <t>CLM_LINE_RSDL_PYMT_IND_CD</t>
  </si>
  <si>
    <t>Carrier Line Medicare Diabetes Prevention Program NPI Number</t>
  </si>
  <si>
    <t>CARR_LINE_MDPP_NPI_NUM</t>
  </si>
  <si>
    <t>CLM_LINE_MDPP_NPI_NUM</t>
  </si>
  <si>
    <t>CR 13 - January 2018</t>
  </si>
  <si>
    <t>Started populating in CLM_LINE in Nov 2019 including history</t>
  </si>
  <si>
    <t>Carrier Line Provider Validation Type Code</t>
  </si>
  <si>
    <t>CARR_LINE_PRVDR_VLDTN_CD</t>
  </si>
  <si>
    <t>CR 14 - April 2019</t>
  </si>
  <si>
    <t>Line Voluntary Service Indicator Code</t>
  </si>
  <si>
    <t>LINE_VLNTRY_SRVC_IND_CD</t>
  </si>
  <si>
    <t>Version L January 2021</t>
  </si>
  <si>
    <t>Line Group Code</t>
  </si>
  <si>
    <t>LINE_GROUP_CD</t>
  </si>
  <si>
    <t>CR 19 - January 2022</t>
  </si>
  <si>
    <t xml:space="preserve">Line Claim Adjustment Reason Code </t>
  </si>
  <si>
    <t>LINE_CARC</t>
  </si>
  <si>
    <t xml:space="preserve">Line Remittance Advice Remark Code </t>
  </si>
  <si>
    <t>LINE_RARC</t>
  </si>
  <si>
    <t>Rendering Provider Secondary Specialty 1 Code</t>
  </si>
  <si>
    <t>LINE_RNDRNG_SEC_SPCLTY_1_CD</t>
  </si>
  <si>
    <t>CR 24 - October 2023</t>
  </si>
  <si>
    <t>Rendering Provider Secondary Specialty 2 Code</t>
  </si>
  <si>
    <t>LINE_RNDRNG_SEC_SPCLTY_2_CD</t>
  </si>
  <si>
    <t>Rendering Provider Secondary Specialty 3 Code</t>
  </si>
  <si>
    <t>LINE_RNDRNG_SEC_SPCLTY_3_CD</t>
  </si>
  <si>
    <t>Rendering Provider Taxonomy Code</t>
  </si>
  <si>
    <t>LINE_RNDRNG_PRVDR_TXNMY_CD</t>
  </si>
  <si>
    <t>FILLER_10</t>
  </si>
  <si>
    <t>End of Record Code</t>
  </si>
  <si>
    <t xml:space="preserve">END_REC_CD                    </t>
  </si>
  <si>
    <t>Header Fee for Service Indicator</t>
  </si>
  <si>
    <t>NCH IDR Derived Column</t>
  </si>
  <si>
    <t>Carrier claims are FFS populate with ''Y''</t>
  </si>
  <si>
    <t>CLM_FFS_IND</t>
  </si>
  <si>
    <t>Line Fee for Service Indicator</t>
  </si>
  <si>
    <t>CLM_LINE_FFS_IND</t>
  </si>
  <si>
    <t>Claim Derived Header Indicator</t>
  </si>
  <si>
    <t>Populate with ''Y'' if performing a function on a line element to store at the header else ''N''</t>
  </si>
  <si>
    <t>CLM_DRVD_HDR_IND</t>
  </si>
  <si>
    <t>When CLM_MASS_ADJSTMT_IND_CD in (''O'',''M'') then ''Y'' else ''N''</t>
  </si>
  <si>
    <t>CLM_MASS_ADJSTMT_IND</t>
  </si>
  <si>
    <t>Populated December 2013 including history</t>
  </si>
  <si>
    <t>Claim Unique ID</t>
  </si>
  <si>
    <t>Unique numeric value for each claim in the IDR</t>
  </si>
  <si>
    <t>CLM_UNIQ_ID</t>
  </si>
  <si>
    <t>Populated February 2014 including history</t>
  </si>
  <si>
    <t>Meta Last Update Surrogate Key</t>
  </si>
  <si>
    <t>If updating information on claim populate with META_SK value related to the date</t>
  </si>
  <si>
    <t>META_LST_UPDT_SK</t>
  </si>
  <si>
    <t>Meta Last Update Source Surrogate Key</t>
  </si>
  <si>
    <t>If updating information on claim populate with NCH Source (META_SRC_SK) value</t>
  </si>
  <si>
    <t>META_LST_UPDT_SRC_SK</t>
  </si>
  <si>
    <t>Claim Beneficiary Surrogate Key Lookup Code</t>
  </si>
  <si>
    <t>Populated from Bene Common Routine</t>
  </si>
  <si>
    <t>BENE_SK_LKP_CD</t>
  </si>
  <si>
    <t>Indicates how the BENE_SK was determined</t>
  </si>
  <si>
    <t>Claim Beneficiary Identification Type Code</t>
  </si>
  <si>
    <t>BENE_ID_TYPE_CD</t>
  </si>
  <si>
    <t>Indicates which beneficiary identifier was returned from the Bene Common Routine</t>
  </si>
  <si>
    <t>OCCUR_ROW_NUM</t>
  </si>
  <si>
    <t>ROW_NUM</t>
  </si>
  <si>
    <t>PROCESS_RUN_ID</t>
  </si>
  <si>
    <t>PROCESS_BATCH_ID</t>
  </si>
  <si>
    <t xml:space="preserve">STTM NCH </t>
  </si>
  <si>
    <t>NCH IDR STTM MAPPING</t>
  </si>
  <si>
    <t>Coding</t>
  </si>
  <si>
    <t>NCH IDR CLAIMS Data Profiling (MDCR VDM)</t>
  </si>
  <si>
    <t>NCH IDR CLAIMS Data Profiling (S1 Claims)</t>
  </si>
  <si>
    <t xml:space="preserve"> NCH Cobol Copy book Field Name</t>
  </si>
  <si>
    <t>NCH IDR Target Table</t>
  </si>
  <si>
    <t>NCH IDR Target Column</t>
  </si>
  <si>
    <t>IDR SQL Coding for Analysis</t>
  </si>
  <si>
    <t>NCH IDR  Column</t>
  </si>
  <si>
    <t>NCH IDR POP Y/N</t>
  </si>
  <si>
    <t xml:space="preserve">NCH IDR Nulls </t>
  </si>
  <si>
    <t>Tot NCH SS IDR claims in view</t>
  </si>
  <si>
    <t>% NCH IDR Pop</t>
  </si>
  <si>
    <t>% NCH IDR  Not Pop</t>
  </si>
  <si>
    <t>SS IDR Column</t>
  </si>
  <si>
    <t xml:space="preserve">SS IDR Phase 2 POP Y/N </t>
  </si>
  <si>
    <t>SS IDR Phase 3 POP Y/N</t>
  </si>
  <si>
    <t>SS IDR # Nulls Phase 2</t>
  </si>
  <si>
    <t>SS IDR # Nulls Phase 3</t>
  </si>
  <si>
    <t>Tot SS IDR Phase 2 in view</t>
  </si>
  <si>
    <t>% SS IDR Pop Phase 2</t>
  </si>
  <si>
    <t>% SS IDR Not Pop Phase 2</t>
  </si>
  <si>
    <t>% SS IDR Pop Phase 3</t>
  </si>
  <si>
    <t>% SS IDR Not Pop Phase 3</t>
  </si>
  <si>
    <t> </t>
  </si>
  <si>
    <t>Y</t>
  </si>
  <si>
    <t>N</t>
  </si>
  <si>
    <t>CLM_MDCR_DDCTBL_AMT</t>
  </si>
  <si>
    <t>CLM_PTNT_BIRTH_DT</t>
  </si>
  <si>
    <r>
      <t xml:space="preserve">Claim </t>
    </r>
    <r>
      <rPr>
        <b/>
        <sz val="11"/>
        <rFont val="Arial"/>
        <family val="2"/>
      </rPr>
      <t xml:space="preserve">RAC </t>
    </r>
    <r>
      <rPr>
        <sz val="11"/>
        <rFont val="Arial"/>
        <family val="2"/>
      </rPr>
      <t>Adjustment Indication Code</t>
    </r>
  </si>
  <si>
    <t xml:space="preserve">CLM_1ST_NAME </t>
  </si>
  <si>
    <t>CLM_1ST_NAME</t>
  </si>
  <si>
    <t>CLM_DEMO_1ST_NUM</t>
  </si>
  <si>
    <t>CLM_DEMO_2ND_NUM</t>
  </si>
  <si>
    <t>CLM_DEMO_3RD_NUM</t>
  </si>
  <si>
    <t>CLM_DEMO_4TH_NUM</t>
  </si>
  <si>
    <t>CLM_DEMO_5TH_NUM</t>
  </si>
  <si>
    <t>CLM_DEMO_INFO_1_DESC</t>
  </si>
  <si>
    <t>CLM_DEMO_INFO_2_DESC</t>
  </si>
  <si>
    <t>CLM_DEMO_INFO_3_DESC</t>
  </si>
  <si>
    <t>CLM_DEMO_INFO_4_DESC</t>
  </si>
  <si>
    <t>CLM_DEMO_INFO_5_DESC</t>
  </si>
  <si>
    <t>CLM_INTL_MDL_NAME</t>
  </si>
  <si>
    <t>CLM_LAST_NAME</t>
  </si>
  <si>
    <t>/</t>
  </si>
  <si>
    <t>CLM_MCO_1ST_CNTRCT_NUM</t>
  </si>
  <si>
    <t>CLM_MCO_1ST_HLTH_PLAN_ID</t>
  </si>
  <si>
    <t>CLM_MCO_1ST_OPTN_CD</t>
  </si>
  <si>
    <t xml:space="preserve">CLM_MCO_1ST_PRD_BGN_DT </t>
  </si>
  <si>
    <t>CLM_MCO_1ST_PRD_BGN_DT</t>
  </si>
  <si>
    <t>CLM_MCO_1ST_PRD_END_DT</t>
  </si>
  <si>
    <t xml:space="preserve">CLM_MCO_1ST_PRD_END_DT </t>
  </si>
  <si>
    <t>CLM_MCO_2ND_CNTRCT_NUM</t>
  </si>
  <si>
    <t>CLM_MCO_2ND_HLTH_PLAN_ID</t>
  </si>
  <si>
    <t>CLM_MCO_2ND_OPTN_CD</t>
  </si>
  <si>
    <t>CLM_MCO_2ND_PRD_BGN_DT</t>
  </si>
  <si>
    <t>CLM_RSDL_PYMT_IND_CD</t>
  </si>
  <si>
    <t>CLM_LINE_DCMTN_CD</t>
  </si>
  <si>
    <t>CR 13 - January 2018
Started populating in CLM_LINE in Nov 2019 including history</t>
  </si>
  <si>
    <t>Line Unique Tracking Number
was
Line Power Mobility Device (PMD) Unique Tracking Device Number</t>
  </si>
  <si>
    <t>LINE_NG_ACO_IND_1_CD, LINE_NG_ACO_IND_2_CD,
LINE_NG_ACO_IND_3_CD,
LINE_NG_ACO_IND_4_CD,
LINE_NG_ACO_IND_5_CD</t>
  </si>
  <si>
    <t>CR 9 - October 2014
Started populating in CLM_LINE_DCMTN in Jan 2017 including history</t>
  </si>
  <si>
    <t>CR11 - January 2016
Started populating in CLM_LINE_DCMTN in Jan 2017 including history</t>
  </si>
  <si>
    <t>CR11 - January 2016
Started populating in CLM_LINE_DCMTN in Nov 2019 including history</t>
  </si>
  <si>
    <t xml:space="preserve">CLM_LINE_DCMTN
</t>
  </si>
  <si>
    <t xml:space="preserve">
CLM_LINE_BNFT_ENHNCMT_1_CD</t>
  </si>
  <si>
    <t>CR11 - January 2016
CR 34182 - February 2019
CR 918945 - September 2018
CR 83383 - October 2021</t>
  </si>
  <si>
    <t xml:space="preserve">
CLM_LINE_BNFT_ENHNCMT_2_CD</t>
  </si>
  <si>
    <t xml:space="preserve">
CLM_LINE_DCMTN</t>
  </si>
  <si>
    <t xml:space="preserve">
CLM_LINE_BNFT_ENHNCMT_3_CD</t>
  </si>
  <si>
    <t xml:space="preserve">
CLM_LINE_BNFT_ENHNCMT_4_CD</t>
  </si>
  <si>
    <t xml:space="preserve">
CLM_LINE_BNFT_ENHNCMT_5_CD</t>
  </si>
  <si>
    <t xml:space="preserve">                          -  </t>
  </si>
  <si>
    <t xml:space="preserve">                                        -  </t>
  </si>
  <si>
    <t>CLM_DGNS_1_CD</t>
  </si>
  <si>
    <t>CLM_DGNS_10_CD</t>
  </si>
  <si>
    <t>CLM_DGNS_2_CD</t>
  </si>
  <si>
    <t>CLM_DGNS_3_CD</t>
  </si>
  <si>
    <t>CLM_DGNS_4_CD</t>
  </si>
  <si>
    <t>CLM_DGNS_5_CD</t>
  </si>
  <si>
    <t>CLM_DGNS_6_CD</t>
  </si>
  <si>
    <t>CLM_DGNS_7_CD</t>
  </si>
  <si>
    <t>CLM_DGNS_8_CD</t>
  </si>
  <si>
    <t>CLM_DGNS_9_CD</t>
  </si>
  <si>
    <t>CLM_ADJSTMT_RSN_CD</t>
  </si>
  <si>
    <t>CLM_ADJSTMT_TYPE_CD</t>
  </si>
  <si>
    <t>CLM_ALOWD_CHRG_CD</t>
  </si>
  <si>
    <t>CLM_BLG_PRVDR_FULL_CCN_NUM</t>
  </si>
  <si>
    <t>CLM_CARDHLDR_ID</t>
  </si>
  <si>
    <t>CLM_CNTRCT_OF_REC_CNTRCT_NUM</t>
  </si>
  <si>
    <t>CLM_CNTRCT_OF_REC_PBP_NUM</t>
  </si>
  <si>
    <t>CLM_CTGRY_SRVC_CD</t>
  </si>
  <si>
    <t>CLM_FINL_ACTN_IND</t>
  </si>
  <si>
    <t>CLM_FORM_CD</t>
  </si>
  <si>
    <t>CLM_IDR_LD_DT</t>
  </si>
  <si>
    <t>CLM_LTST_CLM_IND</t>
  </si>
  <si>
    <t>CLM_MDCD_RCPNT_NUM</t>
  </si>
  <si>
    <t>CLM_ORIG_CNTL_NUM</t>
  </si>
  <si>
    <t>CLM_PLAN_CD</t>
  </si>
  <si>
    <t>CLM_SBMT_FRMT_CD</t>
  </si>
  <si>
    <t>CLM_SBMTR_CNTRCT_NUM</t>
  </si>
  <si>
    <t>CLM_SBMTR_CNTRCT_PBP_NUM</t>
  </si>
  <si>
    <t>CLM_SRC_ID</t>
  </si>
  <si>
    <t>GEO_FIPS_STATE_CD</t>
  </si>
  <si>
    <t>CLM_CWF_NUM</t>
  </si>
  <si>
    <t>CLM_MCO_DND_RSN_CD</t>
  </si>
  <si>
    <t>CLM_MDCR_CVRG_CD</t>
  </si>
  <si>
    <t>CLM_PRO_CNTL_NUM</t>
  </si>
  <si>
    <t>CLM_PTNT_CNTL_NUM</t>
  </si>
  <si>
    <t>CLM_PTNT_MDCL_REC_NUM</t>
  </si>
  <si>
    <t>CLM_PTNT_TRTMT_AUTHRZTN_NUM</t>
  </si>
  <si>
    <t>GEO_FIPS_CNTY_CD</t>
  </si>
  <si>
    <t>GEO_LCL_CNTY_CD</t>
  </si>
  <si>
    <t>CLM_ACTV_CARE_FROM_DT</t>
  </si>
  <si>
    <t>CLM_ACTV_CARE_THRU_DT</t>
  </si>
  <si>
    <t>CLM_CMS_PROC_DT</t>
  </si>
  <si>
    <t>CLM_DSCHRG_DT</t>
  </si>
  <si>
    <t>CLM_EDW_PROC_DT</t>
  </si>
  <si>
    <t>CLM_GNRT_DT</t>
  </si>
  <si>
    <t>CLM_GUNTD_PMT_BGN_DT</t>
  </si>
  <si>
    <t>CLM_IP_PRO_FROM_DT</t>
  </si>
  <si>
    <t>CLM_IP_PRO_THRU_DT</t>
  </si>
  <si>
    <t>CLM_MDCR_EXHSTD_DT</t>
  </si>
  <si>
    <t>CLM_MDCR_PMT_DT</t>
  </si>
  <si>
    <t>CLM_NCH_UR_NTC_RCV_DT</t>
  </si>
  <si>
    <t>CLM_NCVRD_FROM_DT</t>
  </si>
  <si>
    <t>CLM_NCVRD_THRU_DT</t>
  </si>
  <si>
    <t>CLM_PRO_PROC_DT</t>
  </si>
  <si>
    <t>CLM_QLFY_STAY_FROM_DT</t>
  </si>
  <si>
    <t>CLM_QLFY_STAY_THRU_DT</t>
  </si>
  <si>
    <t>CLM_RA_DT</t>
  </si>
  <si>
    <t>CLM_RX_FILL_DT</t>
  </si>
  <si>
    <t>CLM_RX_WRTN_DT</t>
  </si>
  <si>
    <t>CLM_WARNT_DT</t>
  </si>
  <si>
    <t>CLM_LINE_FINL_ACTN_IND</t>
  </si>
  <si>
    <t>CLM_LINE_LTST_CLM_IND</t>
  </si>
  <si>
    <t>CLM_LINE_MDCR_PMT_DT</t>
  </si>
  <si>
    <t>CLM_LINE_NUM</t>
  </si>
  <si>
    <t>CLM_LINE_RA_DT</t>
  </si>
  <si>
    <t>CLM_LINE_SRGRY_DT</t>
  </si>
  <si>
    <t>CLM_LINE_WARNT_DT</t>
  </si>
  <si>
    <t>PRVDR_FAC_PRVDR_NPI_NUM</t>
  </si>
  <si>
    <t>CLM_LINE_PTOT_ASTNT_RDCTN_AMT</t>
  </si>
  <si>
    <t>CLM_LINE_OTHR_APLD_SQNC_NUM</t>
  </si>
  <si>
    <t>CLM_DMERC_DCSN_IND_SW</t>
  </si>
  <si>
    <t>CLM_WVR_PRVDR_LBLTY_SW</t>
  </si>
  <si>
    <t>GEO_PRCNG_ZIP4_CD</t>
  </si>
  <si>
    <t>CLM_PRCDR_PRFRM_DT</t>
  </si>
  <si>
    <t>CLM_PROD_TYPE_CD</t>
  </si>
  <si>
    <t>CLM_VAL_SQNC_NUM</t>
  </si>
  <si>
    <t>CLM_DGNS_11_CD</t>
  </si>
  <si>
    <t>CLM_DGNS_12_CD</t>
  </si>
  <si>
    <t>CLM_PRCDR_1_DT</t>
  </si>
  <si>
    <t>CLM_PRCDR_10_DT</t>
  </si>
  <si>
    <t>CLM_PRCDR_11_DT</t>
  </si>
  <si>
    <t>CLM_PRCDR_12_DT</t>
  </si>
  <si>
    <t>CLM_PRCDR_13_DT</t>
  </si>
  <si>
    <t>CLM_PRCDR_14_DT</t>
  </si>
  <si>
    <t>CLM_PRCDR_15_DT</t>
  </si>
  <si>
    <t>CLM_PRCDR_16_DT</t>
  </si>
  <si>
    <t>CLM_PRCDR_17_DT</t>
  </si>
  <si>
    <t>CLM_PRCDR_18_DT</t>
  </si>
  <si>
    <t>CLM_PRCDR_19_DT</t>
  </si>
  <si>
    <t>CLM_PRCDR_2_DT</t>
  </si>
  <si>
    <t>CLM_PRCDR_20_DT</t>
  </si>
  <si>
    <t>CLM_PRCDR_21_DT</t>
  </si>
  <si>
    <t>CLM_PRCDR_22_DT</t>
  </si>
  <si>
    <t>CLM_PRCDR_23_DT</t>
  </si>
  <si>
    <t>CLM_PRCDR_24_DT</t>
  </si>
  <si>
    <t>CLM_PRCDR_25_DT</t>
  </si>
  <si>
    <t>CLM_PRCDR_3_DT</t>
  </si>
  <si>
    <t>CLM_PRCDR_4_DT</t>
  </si>
  <si>
    <t>CLM_PRCDR_5_DT</t>
  </si>
  <si>
    <t>CLM_PRCDR_6_DT</t>
  </si>
  <si>
    <t>CLM_PRCDR_7_DT</t>
  </si>
  <si>
    <t>CLM_PRCDR_8_DT</t>
  </si>
  <si>
    <t>CLM_PRCDR_9_DT</t>
  </si>
  <si>
    <t>CLM_PRCDR_PRNCPL_DT</t>
  </si>
  <si>
    <t>Tot SS IDR Phase 3 in view</t>
  </si>
  <si>
    <t>SS MCS IDR CLAIMS Data Profiling</t>
  </si>
  <si>
    <r>
      <t xml:space="preserve">NCH IDR </t>
    </r>
    <r>
      <rPr>
        <b/>
        <sz val="11"/>
        <color rgb="FFFF0000"/>
        <rFont val="Arial"/>
        <family val="2"/>
      </rPr>
      <t>MDCR VDM</t>
    </r>
    <r>
      <rPr>
        <b/>
        <sz val="11"/>
        <color rgb="FF242424"/>
        <rFont val="Arial"/>
        <family val="2"/>
      </rPr>
      <t xml:space="preserve"> View Name</t>
    </r>
  </si>
  <si>
    <r>
      <t xml:space="preserve">NCH IDR </t>
    </r>
    <r>
      <rPr>
        <b/>
        <sz val="11"/>
        <color rgb="FFFF0000"/>
        <rFont val="Arial"/>
        <family val="2"/>
      </rPr>
      <t>MDCR VDM</t>
    </r>
    <r>
      <rPr>
        <b/>
        <sz val="11"/>
        <color rgb="FF242424"/>
        <rFont val="Arial"/>
        <family val="2"/>
      </rPr>
      <t xml:space="preserve"> Column Name</t>
    </r>
  </si>
  <si>
    <t>Populated (Y/N) Note N indicates 100% Null</t>
  </si>
  <si>
    <t>Situation  Description</t>
  </si>
  <si>
    <t>In MDCR VDM not in CLMNCH STTM and column is populated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</si>
</sst>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%"/>
  </numFmts>
  <fonts count="23" x14ac:knownFonts="1">
    <font>
      <sz val="11"/>
      <color theme="1"/>
      <name val="Aptos Narrow"/>
      <family val="2"/>
      <scheme val="minor"/>
    </font>
    <font>
      <b/>
      <sz val="8"/>
      <name val="Arial"/>
      <family val="2"/>
    </font>
    <font>
      <b/>
      <sz val="8"/>
      <color rgb="FF00000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8"/>
      <name val="Arial"/>
      <family val="2"/>
    </font>
    <font>
      <sz val="11"/>
      <color indexed="8"/>
      <name val="Calibri"/>
      <family val="2"/>
    </font>
    <font>
      <sz val="11"/>
      <color rgb="FF000000"/>
      <name val="Aptos Narrow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sz val="11"/>
      <color rgb="FFFF0000"/>
      <name val="Arial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242424"/>
      <name val="Arial"/>
      <family val="2"/>
    </font>
    <font>
      <sz val="11"/>
      <color theme="1"/>
      <name val="Aptos Narrow"/>
      <family val="2"/>
      <scheme val="minor"/>
    </font>
    <font>
      <b/>
      <sz val="11"/>
      <color rgb="FFFF0000"/>
      <name val="Arial"/>
      <family val="2"/>
    </font>
    <font>
      <b/>
      <sz val="11"/>
      <color theme="1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F2F2F2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99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0" fontId="8" fillId="0" borderId="0"/>
    <xf numFmtId="43" fontId="20" fillId="0" borderId="0" applyFont="0" applyFill="0" applyBorder="0" applyAlignment="0" applyProtection="0"/>
  </cellStyleXfs>
  <cellXfs count="88">
    <xf numFmtId="0" fontId="0" fillId="0" borderId="0" xfId="0"/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5" xfId="0" applyFont="1" applyBorder="1" applyAlignment="1">
      <alignment wrapText="1"/>
    </xf>
    <xf numFmtId="0" fontId="3" fillId="0" borderId="0" xfId="0" applyFont="1"/>
    <xf numFmtId="0" fontId="4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0" fillId="0" borderId="7" xfId="0" applyBorder="1" applyAlignment="1">
      <alignment wrapText="1"/>
    </xf>
    <xf numFmtId="164" fontId="10" fillId="0" borderId="0" xfId="0" applyNumberFormat="1" applyFont="1" applyAlignment="1">
      <alignment horizontal="left" vertical="top"/>
    </xf>
    <xf numFmtId="164" fontId="10" fillId="0" borderId="0" xfId="0" applyNumberFormat="1" applyFont="1" applyAlignment="1">
      <alignment horizontal="left" vertical="top" wrapText="1"/>
    </xf>
    <xf numFmtId="9" fontId="10" fillId="0" borderId="0" xfId="0" applyNumberFormat="1" applyFont="1" applyAlignment="1">
      <alignment horizontal="left" vertical="top"/>
    </xf>
    <xf numFmtId="164" fontId="11" fillId="3" borderId="8" xfId="0" applyNumberFormat="1" applyFont="1" applyFill="1" applyBorder="1" applyAlignment="1">
      <alignment horizontal="left" vertical="top"/>
    </xf>
    <xf numFmtId="164" fontId="11" fillId="0" borderId="0" xfId="0" applyNumberFormat="1" applyFont="1" applyAlignment="1">
      <alignment horizontal="left" vertical="top"/>
    </xf>
    <xf numFmtId="164" fontId="11" fillId="3" borderId="9" xfId="0" applyNumberFormat="1" applyFont="1" applyFill="1" applyBorder="1" applyAlignment="1">
      <alignment vertical="top"/>
    </xf>
    <xf numFmtId="164" fontId="11" fillId="3" borderId="10" xfId="0" applyNumberFormat="1" applyFont="1" applyFill="1" applyBorder="1" applyAlignment="1">
      <alignment vertical="top"/>
    </xf>
    <xf numFmtId="164" fontId="11" fillId="3" borderId="11" xfId="0" applyNumberFormat="1" applyFont="1" applyFill="1" applyBorder="1" applyAlignment="1">
      <alignment vertical="top"/>
    </xf>
    <xf numFmtId="164" fontId="10" fillId="0" borderId="0" xfId="2" applyNumberFormat="1" applyFont="1" applyAlignment="1">
      <alignment horizontal="left" vertical="top"/>
    </xf>
    <xf numFmtId="9" fontId="10" fillId="0" borderId="0" xfId="0" applyNumberFormat="1" applyFont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vertical="top" wrapText="1"/>
    </xf>
    <xf numFmtId="0" fontId="14" fillId="0" borderId="1" xfId="0" applyFont="1" applyBorder="1" applyAlignment="1">
      <alignment vertical="top" wrapText="1"/>
    </xf>
    <xf numFmtId="0" fontId="19" fillId="3" borderId="1" xfId="0" applyFont="1" applyFill="1" applyBorder="1" applyAlignment="1">
      <alignment horizontal="left" vertical="top" wrapText="1"/>
    </xf>
    <xf numFmtId="164" fontId="13" fillId="0" borderId="1" xfId="0" applyNumberFormat="1" applyFont="1" applyBorder="1" applyAlignment="1">
      <alignment horizontal="left" vertical="top" wrapText="1"/>
    </xf>
    <xf numFmtId="0" fontId="9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22" fillId="3" borderId="1" xfId="0" applyFont="1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164" fontId="7" fillId="2" borderId="8" xfId="0" applyNumberFormat="1" applyFont="1" applyFill="1" applyBorder="1" applyAlignment="1">
      <alignment horizontal="left" vertical="top" wrapText="1"/>
    </xf>
    <xf numFmtId="164" fontId="13" fillId="0" borderId="8" xfId="0" applyNumberFormat="1" applyFont="1" applyBorder="1" applyAlignment="1">
      <alignment horizontal="left" vertical="top" wrapText="1"/>
    </xf>
    <xf numFmtId="164" fontId="13" fillId="0" borderId="8" xfId="0" applyNumberFormat="1" applyFont="1" applyBorder="1" applyAlignment="1">
      <alignment horizontal="left" vertical="top"/>
    </xf>
    <xf numFmtId="164" fontId="11" fillId="3" borderId="12" xfId="0" applyNumberFormat="1" applyFont="1" applyFill="1" applyBorder="1" applyAlignment="1">
      <alignment horizontal="left" vertical="top" wrapText="1"/>
    </xf>
    <xf numFmtId="164" fontId="18" fillId="2" borderId="1" xfId="0" applyNumberFormat="1" applyFont="1" applyFill="1" applyBorder="1" applyAlignment="1">
      <alignment horizontal="left" vertical="top" wrapText="1"/>
    </xf>
    <xf numFmtId="164" fontId="12" fillId="2" borderId="1" xfId="0" applyNumberFormat="1" applyFont="1" applyFill="1" applyBorder="1" applyAlignment="1">
      <alignment horizontal="left" vertical="top" wrapText="1"/>
    </xf>
    <xf numFmtId="164" fontId="11" fillId="4" borderId="1" xfId="0" applyNumberFormat="1" applyFont="1" applyFill="1" applyBorder="1" applyAlignment="1">
      <alignment horizontal="left" vertical="top" wrapText="1"/>
    </xf>
    <xf numFmtId="164" fontId="16" fillId="4" borderId="1" xfId="1" quotePrefix="1" applyNumberFormat="1" applyFont="1" applyFill="1" applyBorder="1" applyAlignment="1">
      <alignment horizontal="left" vertical="top" wrapText="1"/>
    </xf>
    <xf numFmtId="9" fontId="11" fillId="4" borderId="1" xfId="0" applyNumberFormat="1" applyFont="1" applyFill="1" applyBorder="1" applyAlignment="1">
      <alignment horizontal="left" vertical="top" wrapText="1"/>
    </xf>
    <xf numFmtId="164" fontId="11" fillId="4" borderId="1" xfId="2" applyNumberFormat="1" applyFont="1" applyFill="1" applyBorder="1" applyAlignment="1">
      <alignment horizontal="left" vertical="top" wrapText="1"/>
    </xf>
    <xf numFmtId="164" fontId="14" fillId="0" borderId="1" xfId="0" applyNumberFormat="1" applyFont="1" applyBorder="1" applyAlignment="1">
      <alignment horizontal="left" vertical="top" wrapText="1"/>
    </xf>
    <xf numFmtId="164" fontId="13" fillId="0" borderId="1" xfId="0" quotePrefix="1" applyNumberFormat="1" applyFont="1" applyBorder="1" applyAlignment="1">
      <alignment horizontal="left" vertical="top" wrapText="1"/>
    </xf>
    <xf numFmtId="164" fontId="10" fillId="0" borderId="1" xfId="0" applyNumberFormat="1" applyFont="1" applyBorder="1" applyAlignment="1">
      <alignment horizontal="left" vertical="top" wrapText="1"/>
    </xf>
    <xf numFmtId="164" fontId="14" fillId="0" borderId="1" xfId="0" applyNumberFormat="1" applyFont="1" applyBorder="1" applyAlignment="1">
      <alignment horizontal="left" vertical="top"/>
    </xf>
    <xf numFmtId="165" fontId="14" fillId="0" borderId="1" xfId="0" applyNumberFormat="1" applyFont="1" applyBorder="1" applyAlignment="1">
      <alignment horizontal="left" vertical="top"/>
    </xf>
    <xf numFmtId="165" fontId="10" fillId="0" borderId="1" xfId="0" applyNumberFormat="1" applyFont="1" applyBorder="1" applyAlignment="1">
      <alignment horizontal="left" vertical="top"/>
    </xf>
    <xf numFmtId="0" fontId="0" fillId="0" borderId="1" xfId="0" applyBorder="1" applyAlignment="1">
      <alignment wrapText="1"/>
    </xf>
    <xf numFmtId="9" fontId="10" fillId="0" borderId="1" xfId="0" applyNumberFormat="1" applyFont="1" applyBorder="1" applyAlignment="1">
      <alignment horizontal="left" vertical="top"/>
    </xf>
    <xf numFmtId="0" fontId="0" fillId="0" borderId="1" xfId="0" applyBorder="1"/>
    <xf numFmtId="164" fontId="0" fillId="0" borderId="1" xfId="2" applyNumberFormat="1" applyFont="1" applyBorder="1"/>
    <xf numFmtId="164" fontId="10" fillId="0" borderId="1" xfId="0" applyNumberFormat="1" applyFont="1" applyBorder="1" applyAlignment="1">
      <alignment horizontal="left" vertical="top"/>
    </xf>
    <xf numFmtId="164" fontId="10" fillId="0" borderId="1" xfId="2" applyNumberFormat="1" applyFont="1" applyBorder="1" applyAlignment="1">
      <alignment horizontal="left" vertical="top"/>
    </xf>
    <xf numFmtId="164" fontId="15" fillId="0" borderId="1" xfId="0" quotePrefix="1" applyNumberFormat="1" applyFont="1" applyBorder="1" applyAlignment="1">
      <alignment horizontal="left" vertical="top" wrapText="1"/>
    </xf>
    <xf numFmtId="164" fontId="0" fillId="0" borderId="1" xfId="2" applyNumberFormat="1" applyFont="1" applyBorder="1" applyAlignment="1">
      <alignment vertical="top"/>
    </xf>
    <xf numFmtId="3" fontId="14" fillId="0" borderId="1" xfId="0" applyNumberFormat="1" applyFont="1" applyBorder="1" applyAlignment="1">
      <alignment horizontal="left" vertical="top"/>
    </xf>
    <xf numFmtId="164" fontId="10" fillId="0" borderId="1" xfId="0" applyNumberFormat="1" applyFont="1" applyBorder="1" applyAlignment="1">
      <alignment horizontal="left" vertical="top" indent="3"/>
    </xf>
    <xf numFmtId="0" fontId="14" fillId="0" borderId="1" xfId="0" applyFont="1" applyBorder="1" applyAlignment="1">
      <alignment horizontal="left" vertical="top"/>
    </xf>
    <xf numFmtId="164" fontId="14" fillId="0" borderId="1" xfId="0" quotePrefix="1" applyNumberFormat="1" applyFont="1" applyBorder="1" applyAlignment="1">
      <alignment horizontal="left" vertical="top" wrapText="1"/>
    </xf>
    <xf numFmtId="164" fontId="15" fillId="0" borderId="1" xfId="0" applyNumberFormat="1" applyFont="1" applyBorder="1" applyAlignment="1">
      <alignment horizontal="left" vertical="top" wrapText="1"/>
    </xf>
    <xf numFmtId="164" fontId="10" fillId="6" borderId="1" xfId="0" applyNumberFormat="1" applyFont="1" applyFill="1" applyBorder="1" applyAlignment="1">
      <alignment horizontal="left" vertical="top"/>
    </xf>
    <xf numFmtId="165" fontId="14" fillId="6" borderId="1" xfId="0" applyNumberFormat="1" applyFont="1" applyFill="1" applyBorder="1" applyAlignment="1">
      <alignment horizontal="left" vertical="top"/>
    </xf>
    <xf numFmtId="164" fontId="17" fillId="0" borderId="1" xfId="0" applyNumberFormat="1" applyFont="1" applyBorder="1" applyAlignment="1">
      <alignment horizontal="left" vertical="top" wrapText="1"/>
    </xf>
    <xf numFmtId="0" fontId="10" fillId="6" borderId="1" xfId="0" applyFont="1" applyFill="1" applyBorder="1" applyAlignment="1">
      <alignment horizontal="left" vertical="top"/>
    </xf>
    <xf numFmtId="164" fontId="13" fillId="5" borderId="1" xfId="0" applyNumberFormat="1" applyFont="1" applyFill="1" applyBorder="1" applyAlignment="1">
      <alignment horizontal="left" vertical="top" wrapText="1"/>
    </xf>
    <xf numFmtId="164" fontId="13" fillId="5" borderId="1" xfId="0" quotePrefix="1" applyNumberFormat="1" applyFont="1" applyFill="1" applyBorder="1" applyAlignment="1">
      <alignment horizontal="left" vertical="top" wrapText="1"/>
    </xf>
    <xf numFmtId="164" fontId="10" fillId="5" borderId="1" xfId="0" applyNumberFormat="1" applyFont="1" applyFill="1" applyBorder="1" applyAlignment="1">
      <alignment horizontal="left" vertical="top" wrapText="1"/>
    </xf>
    <xf numFmtId="164" fontId="10" fillId="5" borderId="1" xfId="0" applyNumberFormat="1" applyFont="1" applyFill="1" applyBorder="1" applyAlignment="1">
      <alignment horizontal="left" vertical="top"/>
    </xf>
    <xf numFmtId="9" fontId="10" fillId="5" borderId="1" xfId="0" applyNumberFormat="1" applyFont="1" applyFill="1" applyBorder="1" applyAlignment="1">
      <alignment horizontal="left" vertical="top"/>
    </xf>
    <xf numFmtId="164" fontId="10" fillId="5" borderId="1" xfId="2" applyNumberFormat="1" applyFont="1" applyFill="1" applyBorder="1" applyAlignment="1">
      <alignment horizontal="left" vertical="top"/>
    </xf>
    <xf numFmtId="164" fontId="14" fillId="5" borderId="1" xfId="0" applyNumberFormat="1" applyFont="1" applyFill="1" applyBorder="1" applyAlignment="1">
      <alignment horizontal="left" vertical="top" wrapText="1"/>
    </xf>
    <xf numFmtId="0" fontId="13" fillId="0" borderId="2" xfId="0" applyFont="1" applyBorder="1" applyAlignment="1">
      <alignment vertical="top" wrapText="1"/>
    </xf>
    <xf numFmtId="0" fontId="9" fillId="0" borderId="2" xfId="0" applyFont="1" applyBorder="1" applyAlignment="1">
      <alignment vertical="top"/>
    </xf>
    <xf numFmtId="0" fontId="3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6" xfId="0" applyFont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2" fillId="2" borderId="3" xfId="0" applyFont="1" applyFill="1" applyBorder="1" applyAlignment="1">
      <alignment wrapText="1"/>
    </xf>
    <xf numFmtId="164" fontId="11" fillId="3" borderId="12" xfId="0" applyNumberFormat="1" applyFont="1" applyFill="1" applyBorder="1" applyAlignment="1">
      <alignment horizontal="left" vertical="top"/>
    </xf>
    <xf numFmtId="164" fontId="11" fillId="3" borderId="10" xfId="0" applyNumberFormat="1" applyFont="1" applyFill="1" applyBorder="1" applyAlignment="1">
      <alignment horizontal="left" vertical="top" wrapText="1"/>
    </xf>
    <xf numFmtId="164" fontId="11" fillId="3" borderId="11" xfId="0" applyNumberFormat="1" applyFont="1" applyFill="1" applyBorder="1" applyAlignment="1">
      <alignment horizontal="left" vertical="top" wrapText="1"/>
    </xf>
  </cellXfs>
  <cellStyles count="3">
    <cellStyle name="Comma" xfId="2" builtinId="3"/>
    <cellStyle name="Normal" xfId="0" builtinId="0"/>
    <cellStyle name="Normal 2" xfId="1" xr:uid="{96E7832C-02A8-41A4-8D4D-8E4DB2E9AFA0}"/>
  </cellStyles>
  <dxfs count="0"/>
  <tableStyles count="0" defaultTableStyle="TableStyleMedium2" defaultPivotStyle="PivotStyleLight16"/>
  <colors>
    <mruColors>
      <color rgb="FF66FF99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4BDB-C8B6-445E-AD69-508217F7EFFD}">
  <dimension ref="A2:L359"/>
  <sheetViews>
    <sheetView topLeftCell="A3" workbookViewId="0">
      <selection activeCell="G9" sqref="G9"/>
    </sheetView>
  </sheetViews>
  <sheetFormatPr defaultRowHeight="14.4" x14ac:dyDescent="0.3"/>
  <sheetData>
    <row r="2" spans="1:12" ht="21.6" x14ac:dyDescent="0.3">
      <c r="A2" s="78" t="s">
        <v>0</v>
      </c>
      <c r="B2" s="83" t="s">
        <v>1</v>
      </c>
      <c r="C2" s="78" t="s">
        <v>2</v>
      </c>
      <c r="D2" s="78" t="s">
        <v>3</v>
      </c>
      <c r="E2" s="78" t="s">
        <v>4</v>
      </c>
      <c r="F2" s="78" t="s">
        <v>5</v>
      </c>
      <c r="G2" s="1" t="s">
        <v>6</v>
      </c>
      <c r="H2" s="1" t="s">
        <v>7</v>
      </c>
      <c r="I2" s="78" t="s">
        <v>8</v>
      </c>
      <c r="J2" s="78" t="s">
        <v>9</v>
      </c>
      <c r="K2" s="78" t="s">
        <v>10</v>
      </c>
      <c r="L2" s="78" t="s">
        <v>11</v>
      </c>
    </row>
    <row r="3" spans="1:12" ht="42" x14ac:dyDescent="0.3">
      <c r="A3" s="79"/>
      <c r="B3" s="84"/>
      <c r="C3" s="79"/>
      <c r="D3" s="79"/>
      <c r="E3" s="79"/>
      <c r="F3" s="79"/>
      <c r="G3" s="2" t="s">
        <v>12</v>
      </c>
      <c r="H3" s="2" t="s">
        <v>13</v>
      </c>
      <c r="I3" s="79"/>
      <c r="J3" s="79"/>
      <c r="K3" s="79"/>
      <c r="L3" s="79"/>
    </row>
    <row r="4" spans="1:12" ht="31.8" x14ac:dyDescent="0.3">
      <c r="A4" s="3">
        <v>1</v>
      </c>
      <c r="B4" s="4" t="s">
        <v>14</v>
      </c>
      <c r="C4" s="4" t="s">
        <v>15</v>
      </c>
      <c r="D4" s="4" t="s">
        <v>16</v>
      </c>
      <c r="E4" s="4" t="s">
        <v>15</v>
      </c>
      <c r="F4" s="4" t="s">
        <v>15</v>
      </c>
      <c r="G4" s="4"/>
      <c r="H4" s="4"/>
      <c r="I4" s="4"/>
      <c r="J4" s="4"/>
      <c r="K4" s="6" t="s">
        <v>15</v>
      </c>
      <c r="L4" s="6" t="s">
        <v>15</v>
      </c>
    </row>
    <row r="5" spans="1:12" ht="42" x14ac:dyDescent="0.3">
      <c r="A5" s="3">
        <v>2</v>
      </c>
      <c r="B5" s="4" t="s">
        <v>17</v>
      </c>
      <c r="C5" s="4" t="s">
        <v>15</v>
      </c>
      <c r="D5" s="4" t="s">
        <v>16</v>
      </c>
      <c r="E5" s="4" t="s">
        <v>15</v>
      </c>
      <c r="F5" s="4" t="s">
        <v>15</v>
      </c>
      <c r="G5" s="4"/>
      <c r="H5" s="4"/>
      <c r="I5" s="4"/>
      <c r="J5" s="4"/>
      <c r="K5" s="4" t="s">
        <v>15</v>
      </c>
      <c r="L5" s="4" t="s">
        <v>15</v>
      </c>
    </row>
    <row r="6" spans="1:12" ht="31.8" x14ac:dyDescent="0.3">
      <c r="A6" s="3">
        <v>3</v>
      </c>
      <c r="B6" s="4" t="s">
        <v>18</v>
      </c>
      <c r="C6" s="4" t="s">
        <v>19</v>
      </c>
      <c r="D6" s="4" t="s">
        <v>16</v>
      </c>
      <c r="E6" s="4" t="s">
        <v>15</v>
      </c>
      <c r="F6" s="4" t="s">
        <v>15</v>
      </c>
      <c r="G6" s="4"/>
      <c r="H6" s="4"/>
      <c r="I6" s="4"/>
      <c r="J6" s="4"/>
      <c r="K6" s="4" t="s">
        <v>15</v>
      </c>
      <c r="L6" s="4" t="s">
        <v>15</v>
      </c>
    </row>
    <row r="7" spans="1:12" ht="42" x14ac:dyDescent="0.3">
      <c r="A7" s="3">
        <v>4</v>
      </c>
      <c r="B7" s="4" t="s">
        <v>20</v>
      </c>
      <c r="C7" s="4" t="s">
        <v>21</v>
      </c>
      <c r="D7" s="4" t="s">
        <v>16</v>
      </c>
      <c r="E7" s="4" t="s">
        <v>15</v>
      </c>
      <c r="F7" s="4" t="s">
        <v>15</v>
      </c>
      <c r="G7" s="4"/>
      <c r="H7" s="4"/>
      <c r="I7" s="4"/>
      <c r="J7" s="4"/>
      <c r="K7" s="4" t="s">
        <v>15</v>
      </c>
      <c r="L7" s="4" t="s">
        <v>15</v>
      </c>
    </row>
    <row r="8" spans="1:12" ht="42" x14ac:dyDescent="0.3">
      <c r="A8" s="3">
        <v>5</v>
      </c>
      <c r="B8" s="4" t="s">
        <v>22</v>
      </c>
      <c r="C8" s="4" t="s">
        <v>23</v>
      </c>
      <c r="D8" s="4" t="s">
        <v>24</v>
      </c>
      <c r="E8" s="4" t="s">
        <v>25</v>
      </c>
      <c r="F8" s="4" t="s">
        <v>26</v>
      </c>
      <c r="G8" s="4"/>
      <c r="H8" s="4"/>
      <c r="I8" s="4"/>
      <c r="J8" s="4"/>
      <c r="K8" s="4" t="s">
        <v>15</v>
      </c>
      <c r="L8" s="4" t="s">
        <v>15</v>
      </c>
    </row>
    <row r="9" spans="1:12" ht="21.6" x14ac:dyDescent="0.3">
      <c r="A9" s="3">
        <v>6</v>
      </c>
      <c r="B9" s="4" t="s">
        <v>27</v>
      </c>
      <c r="C9" s="4" t="s">
        <v>28</v>
      </c>
      <c r="D9" s="4" t="s">
        <v>16</v>
      </c>
      <c r="E9" s="4" t="s">
        <v>15</v>
      </c>
      <c r="F9" s="4" t="s">
        <v>15</v>
      </c>
      <c r="G9" s="4"/>
      <c r="H9" s="4"/>
      <c r="I9" s="4"/>
      <c r="J9" s="4"/>
      <c r="K9" s="4" t="s">
        <v>15</v>
      </c>
      <c r="L9" s="4" t="s">
        <v>15</v>
      </c>
    </row>
    <row r="10" spans="1:12" ht="21.6" x14ac:dyDescent="0.3">
      <c r="A10" s="3">
        <v>7</v>
      </c>
      <c r="B10" s="4" t="s">
        <v>29</v>
      </c>
      <c r="C10" s="4" t="s">
        <v>30</v>
      </c>
      <c r="D10" s="4" t="s">
        <v>24</v>
      </c>
      <c r="E10" s="4" t="s">
        <v>31</v>
      </c>
      <c r="F10" s="4" t="s">
        <v>32</v>
      </c>
      <c r="G10" s="4"/>
      <c r="H10" s="4"/>
      <c r="I10" s="4"/>
      <c r="J10" s="4"/>
      <c r="K10" s="4" t="s">
        <v>15</v>
      </c>
      <c r="L10" s="4" t="s">
        <v>15</v>
      </c>
    </row>
    <row r="11" spans="1:12" ht="31.8" x14ac:dyDescent="0.3">
      <c r="A11" s="3">
        <v>8</v>
      </c>
      <c r="B11" s="4" t="s">
        <v>33</v>
      </c>
      <c r="C11" s="4" t="s">
        <v>15</v>
      </c>
      <c r="D11" s="4" t="s">
        <v>16</v>
      </c>
      <c r="E11" s="4" t="s">
        <v>15</v>
      </c>
      <c r="F11" s="4" t="s">
        <v>15</v>
      </c>
      <c r="G11" s="4"/>
      <c r="H11" s="4"/>
      <c r="I11" s="4"/>
      <c r="J11" s="4"/>
      <c r="K11" s="4" t="s">
        <v>15</v>
      </c>
      <c r="L11" s="4" t="s">
        <v>15</v>
      </c>
    </row>
    <row r="12" spans="1:12" ht="42" x14ac:dyDescent="0.3">
      <c r="A12" s="3">
        <v>9</v>
      </c>
      <c r="B12" s="4" t="s">
        <v>34</v>
      </c>
      <c r="C12" s="4" t="s">
        <v>15</v>
      </c>
      <c r="D12" s="4" t="s">
        <v>16</v>
      </c>
      <c r="E12" s="4" t="s">
        <v>15</v>
      </c>
      <c r="F12" s="4" t="s">
        <v>15</v>
      </c>
      <c r="G12" s="4"/>
      <c r="H12" s="4"/>
      <c r="I12" s="4"/>
      <c r="J12" s="4"/>
      <c r="K12" s="4" t="s">
        <v>15</v>
      </c>
      <c r="L12" s="4" t="s">
        <v>15</v>
      </c>
    </row>
    <row r="13" spans="1:12" ht="62.4" x14ac:dyDescent="0.3">
      <c r="A13" s="3">
        <v>10</v>
      </c>
      <c r="B13" s="4" t="s">
        <v>35</v>
      </c>
      <c r="C13" s="4" t="s">
        <v>36</v>
      </c>
      <c r="D13" s="4" t="s">
        <v>37</v>
      </c>
      <c r="E13" s="4" t="s">
        <v>31</v>
      </c>
      <c r="F13" s="4" t="s">
        <v>38</v>
      </c>
      <c r="G13" s="4"/>
      <c r="H13" s="4"/>
      <c r="I13" s="4"/>
      <c r="J13" s="4"/>
      <c r="K13" s="4" t="s">
        <v>15</v>
      </c>
      <c r="L13" s="4" t="s">
        <v>15</v>
      </c>
    </row>
    <row r="14" spans="1:12" ht="62.4" x14ac:dyDescent="0.3">
      <c r="A14" s="3">
        <v>11</v>
      </c>
      <c r="B14" s="4" t="s">
        <v>39</v>
      </c>
      <c r="C14" s="4" t="s">
        <v>40</v>
      </c>
      <c r="D14" s="4" t="s">
        <v>24</v>
      </c>
      <c r="E14" s="4" t="s">
        <v>31</v>
      </c>
      <c r="F14" s="4" t="s">
        <v>41</v>
      </c>
      <c r="G14" s="4"/>
      <c r="H14" s="4"/>
      <c r="I14" s="4"/>
      <c r="J14" s="4"/>
      <c r="K14" s="4" t="s">
        <v>15</v>
      </c>
      <c r="L14" s="4" t="s">
        <v>15</v>
      </c>
    </row>
    <row r="15" spans="1:12" ht="62.4" x14ac:dyDescent="0.3">
      <c r="A15" s="3">
        <v>12</v>
      </c>
      <c r="B15" s="4" t="s">
        <v>42</v>
      </c>
      <c r="C15" s="4" t="s">
        <v>43</v>
      </c>
      <c r="D15" s="4" t="s">
        <v>37</v>
      </c>
      <c r="E15" s="4" t="s">
        <v>31</v>
      </c>
      <c r="F15" s="4" t="s">
        <v>38</v>
      </c>
      <c r="G15" s="4"/>
      <c r="H15" s="4"/>
      <c r="I15" s="4"/>
      <c r="J15" s="4"/>
      <c r="K15" s="4" t="s">
        <v>15</v>
      </c>
      <c r="L15" s="4" t="s">
        <v>15</v>
      </c>
    </row>
    <row r="16" spans="1:12" ht="31.8" x14ac:dyDescent="0.3">
      <c r="A16" s="3">
        <v>13</v>
      </c>
      <c r="B16" s="4" t="s">
        <v>44</v>
      </c>
      <c r="C16" s="4" t="s">
        <v>45</v>
      </c>
      <c r="D16" s="4" t="s">
        <v>24</v>
      </c>
      <c r="E16" s="4" t="s">
        <v>46</v>
      </c>
      <c r="F16" s="4" t="s">
        <v>47</v>
      </c>
      <c r="G16" s="4"/>
      <c r="H16" s="4"/>
      <c r="I16" s="4"/>
      <c r="J16" s="4"/>
      <c r="K16" s="4" t="s">
        <v>15</v>
      </c>
      <c r="L16" s="4" t="s">
        <v>15</v>
      </c>
    </row>
    <row r="17" spans="1:12" ht="52.2" x14ac:dyDescent="0.3">
      <c r="A17" s="3">
        <v>14</v>
      </c>
      <c r="B17" s="4" t="s">
        <v>48</v>
      </c>
      <c r="C17" s="4" t="s">
        <v>49</v>
      </c>
      <c r="D17" s="4" t="s">
        <v>24</v>
      </c>
      <c r="E17" s="4" t="s">
        <v>46</v>
      </c>
      <c r="F17" s="4" t="s">
        <v>50</v>
      </c>
      <c r="G17" s="4"/>
      <c r="H17" s="4"/>
      <c r="I17" s="4"/>
      <c r="J17" s="4"/>
      <c r="K17" s="4" t="s">
        <v>15</v>
      </c>
      <c r="L17" s="4" t="s">
        <v>15</v>
      </c>
    </row>
    <row r="18" spans="1:12" ht="52.2" x14ac:dyDescent="0.3">
      <c r="A18" s="3">
        <v>14</v>
      </c>
      <c r="B18" s="4" t="s">
        <v>48</v>
      </c>
      <c r="C18" s="4" t="s">
        <v>49</v>
      </c>
      <c r="D18" s="4" t="s">
        <v>24</v>
      </c>
      <c r="E18" s="4" t="s">
        <v>31</v>
      </c>
      <c r="F18" s="4" t="s">
        <v>51</v>
      </c>
      <c r="G18" s="4"/>
      <c r="H18" s="4"/>
      <c r="I18" s="4"/>
      <c r="J18" s="4"/>
      <c r="K18" s="4"/>
      <c r="L18" s="4" t="s">
        <v>15</v>
      </c>
    </row>
    <row r="19" spans="1:12" ht="21.6" x14ac:dyDescent="0.3">
      <c r="A19" s="3">
        <v>15</v>
      </c>
      <c r="B19" s="7" t="s">
        <v>52</v>
      </c>
      <c r="C19" s="4" t="s">
        <v>53</v>
      </c>
      <c r="D19" s="4" t="s">
        <v>54</v>
      </c>
      <c r="E19" s="7" t="s">
        <v>55</v>
      </c>
      <c r="F19" s="7" t="s">
        <v>56</v>
      </c>
      <c r="G19" s="7"/>
      <c r="H19" s="7"/>
      <c r="I19" s="7"/>
      <c r="J19" s="7"/>
      <c r="K19" s="4" t="s">
        <v>15</v>
      </c>
      <c r="L19" s="4" t="s">
        <v>15</v>
      </c>
    </row>
    <row r="20" spans="1:12" ht="21.6" x14ac:dyDescent="0.3">
      <c r="A20" s="3">
        <v>15</v>
      </c>
      <c r="B20" s="7" t="s">
        <v>52</v>
      </c>
      <c r="C20" s="4" t="s">
        <v>56</v>
      </c>
      <c r="D20" s="7" t="s">
        <v>24</v>
      </c>
      <c r="E20" s="7" t="s">
        <v>31</v>
      </c>
      <c r="F20" s="7" t="s">
        <v>56</v>
      </c>
      <c r="G20" s="7"/>
      <c r="H20" s="7"/>
      <c r="I20" s="7"/>
      <c r="J20" s="7"/>
      <c r="K20" s="4" t="s">
        <v>15</v>
      </c>
      <c r="L20" s="4" t="s">
        <v>15</v>
      </c>
    </row>
    <row r="21" spans="1:12" ht="21.6" x14ac:dyDescent="0.3">
      <c r="A21" s="3">
        <v>15</v>
      </c>
      <c r="B21" s="7" t="s">
        <v>52</v>
      </c>
      <c r="C21" s="4" t="s">
        <v>56</v>
      </c>
      <c r="D21" s="7" t="s">
        <v>24</v>
      </c>
      <c r="E21" s="7" t="s">
        <v>57</v>
      </c>
      <c r="F21" s="7" t="s">
        <v>56</v>
      </c>
      <c r="G21" s="7"/>
      <c r="H21" s="7"/>
      <c r="I21" s="7"/>
      <c r="J21" s="7"/>
      <c r="K21" s="4" t="s">
        <v>15</v>
      </c>
      <c r="L21" s="4" t="s">
        <v>15</v>
      </c>
    </row>
    <row r="22" spans="1:12" ht="31.8" x14ac:dyDescent="0.3">
      <c r="A22" s="3">
        <v>16</v>
      </c>
      <c r="B22" s="7" t="s">
        <v>58</v>
      </c>
      <c r="C22" s="4" t="s">
        <v>59</v>
      </c>
      <c r="D22" s="4" t="s">
        <v>54</v>
      </c>
      <c r="E22" s="7" t="s">
        <v>55</v>
      </c>
      <c r="F22" s="7" t="s">
        <v>60</v>
      </c>
      <c r="G22" s="7"/>
      <c r="H22" s="7"/>
      <c r="I22" s="7"/>
      <c r="J22" s="7"/>
      <c r="K22" s="4" t="s">
        <v>15</v>
      </c>
      <c r="L22" s="4" t="s">
        <v>15</v>
      </c>
    </row>
    <row r="23" spans="1:12" ht="31.8" x14ac:dyDescent="0.3">
      <c r="A23" s="3">
        <v>16</v>
      </c>
      <c r="B23" s="7" t="s">
        <v>58</v>
      </c>
      <c r="C23" s="4" t="s">
        <v>60</v>
      </c>
      <c r="D23" s="7" t="s">
        <v>24</v>
      </c>
      <c r="E23" s="7" t="s">
        <v>31</v>
      </c>
      <c r="F23" s="7" t="s">
        <v>60</v>
      </c>
      <c r="G23" s="7"/>
      <c r="H23" s="7"/>
      <c r="I23" s="7"/>
      <c r="J23" s="7"/>
      <c r="K23" s="4" t="s">
        <v>15</v>
      </c>
      <c r="L23" s="4" t="s">
        <v>15</v>
      </c>
    </row>
    <row r="24" spans="1:12" ht="52.2" x14ac:dyDescent="0.3">
      <c r="A24" s="3">
        <v>17</v>
      </c>
      <c r="B24" s="4" t="s">
        <v>61</v>
      </c>
      <c r="C24" s="4" t="s">
        <v>62</v>
      </c>
      <c r="D24" s="4" t="s">
        <v>54</v>
      </c>
      <c r="E24" s="4" t="s">
        <v>55</v>
      </c>
      <c r="F24" s="4" t="s">
        <v>63</v>
      </c>
      <c r="G24" s="4"/>
      <c r="H24" s="4"/>
      <c r="I24" s="4"/>
      <c r="J24" s="4"/>
      <c r="K24" s="4" t="s">
        <v>15</v>
      </c>
      <c r="L24" s="4" t="s">
        <v>15</v>
      </c>
    </row>
    <row r="25" spans="1:12" ht="31.8" x14ac:dyDescent="0.3">
      <c r="A25" s="3">
        <v>18</v>
      </c>
      <c r="B25" s="4" t="s">
        <v>64</v>
      </c>
      <c r="C25" s="4" t="s">
        <v>65</v>
      </c>
      <c r="D25" s="4" t="s">
        <v>54</v>
      </c>
      <c r="E25" s="4" t="s">
        <v>55</v>
      </c>
      <c r="F25" s="4" t="s">
        <v>66</v>
      </c>
      <c r="G25" s="4"/>
      <c r="H25" s="4"/>
      <c r="I25" s="4"/>
      <c r="J25" s="4"/>
      <c r="K25" s="4" t="s">
        <v>15</v>
      </c>
      <c r="L25" s="4" t="s">
        <v>15</v>
      </c>
    </row>
    <row r="26" spans="1:12" ht="31.8" x14ac:dyDescent="0.3">
      <c r="A26" s="3">
        <v>19</v>
      </c>
      <c r="B26" s="4" t="s">
        <v>67</v>
      </c>
      <c r="C26" s="4" t="s">
        <v>68</v>
      </c>
      <c r="D26" s="4" t="s">
        <v>24</v>
      </c>
      <c r="E26" s="4" t="s">
        <v>25</v>
      </c>
      <c r="F26" s="4" t="s">
        <v>69</v>
      </c>
      <c r="G26" s="4"/>
      <c r="H26" s="4"/>
      <c r="I26" s="4"/>
      <c r="J26" s="4"/>
      <c r="K26" s="4" t="s">
        <v>15</v>
      </c>
      <c r="L26" s="4" t="s">
        <v>15</v>
      </c>
    </row>
    <row r="27" spans="1:12" ht="42" x14ac:dyDescent="0.3">
      <c r="A27" s="3">
        <v>20</v>
      </c>
      <c r="B27" s="4" t="s">
        <v>70</v>
      </c>
      <c r="C27" s="4" t="s">
        <v>71</v>
      </c>
      <c r="D27" s="4" t="s">
        <v>24</v>
      </c>
      <c r="E27" s="4" t="s">
        <v>31</v>
      </c>
      <c r="F27" s="4" t="s">
        <v>72</v>
      </c>
      <c r="G27" s="4"/>
      <c r="H27" s="4"/>
      <c r="I27" s="4"/>
      <c r="J27" s="4"/>
      <c r="K27" s="4" t="s">
        <v>15</v>
      </c>
      <c r="L27" s="4" t="s">
        <v>15</v>
      </c>
    </row>
    <row r="28" spans="1:12" ht="21.6" x14ac:dyDescent="0.3">
      <c r="A28" s="3" t="s">
        <v>15</v>
      </c>
      <c r="B28" s="4" t="s">
        <v>73</v>
      </c>
      <c r="C28" s="4" t="s">
        <v>74</v>
      </c>
      <c r="D28" s="4" t="s">
        <v>16</v>
      </c>
      <c r="E28" s="4" t="s">
        <v>15</v>
      </c>
      <c r="F28" s="4" t="s">
        <v>15</v>
      </c>
      <c r="G28" s="4"/>
      <c r="H28" s="4"/>
      <c r="I28" s="4"/>
      <c r="J28" s="4"/>
      <c r="K28" s="4" t="s">
        <v>15</v>
      </c>
      <c r="L28" s="4" t="s">
        <v>15</v>
      </c>
    </row>
    <row r="29" spans="1:12" ht="31.8" x14ac:dyDescent="0.3">
      <c r="A29" s="3">
        <v>21</v>
      </c>
      <c r="B29" s="4" t="s">
        <v>75</v>
      </c>
      <c r="C29" s="4" t="s">
        <v>76</v>
      </c>
      <c r="D29" s="4" t="s">
        <v>54</v>
      </c>
      <c r="E29" s="4" t="s">
        <v>55</v>
      </c>
      <c r="F29" s="4" t="s">
        <v>77</v>
      </c>
      <c r="G29" s="4"/>
      <c r="H29" s="4"/>
      <c r="I29" s="4"/>
      <c r="J29" s="4"/>
      <c r="K29" s="4" t="s">
        <v>15</v>
      </c>
      <c r="L29" s="4" t="s">
        <v>15</v>
      </c>
    </row>
    <row r="30" spans="1:12" ht="31.8" x14ac:dyDescent="0.3">
      <c r="A30" s="3">
        <v>22</v>
      </c>
      <c r="B30" s="4" t="s">
        <v>78</v>
      </c>
      <c r="C30" s="4" t="s">
        <v>79</v>
      </c>
      <c r="D30" s="4" t="s">
        <v>24</v>
      </c>
      <c r="E30" s="4" t="s">
        <v>25</v>
      </c>
      <c r="F30" s="4" t="s">
        <v>80</v>
      </c>
      <c r="G30" s="4"/>
      <c r="H30" s="4"/>
      <c r="I30" s="4"/>
      <c r="J30" s="4"/>
      <c r="K30" s="4" t="s">
        <v>15</v>
      </c>
      <c r="L30" s="4" t="s">
        <v>15</v>
      </c>
    </row>
    <row r="31" spans="1:12" ht="31.8" x14ac:dyDescent="0.3">
      <c r="A31" s="3">
        <v>23</v>
      </c>
      <c r="B31" s="4" t="s">
        <v>81</v>
      </c>
      <c r="C31" s="4" t="s">
        <v>82</v>
      </c>
      <c r="D31" s="4" t="s">
        <v>16</v>
      </c>
      <c r="E31" s="4" t="s">
        <v>15</v>
      </c>
      <c r="F31" s="4" t="s">
        <v>15</v>
      </c>
      <c r="G31" s="4"/>
      <c r="H31" s="4"/>
      <c r="I31" s="4"/>
      <c r="J31" s="4"/>
      <c r="K31" s="4" t="s">
        <v>15</v>
      </c>
      <c r="L31" s="4" t="s">
        <v>15</v>
      </c>
    </row>
    <row r="32" spans="1:12" ht="31.8" x14ac:dyDescent="0.3">
      <c r="A32" s="3">
        <v>24</v>
      </c>
      <c r="B32" s="4" t="s">
        <v>83</v>
      </c>
      <c r="C32" s="4" t="s">
        <v>84</v>
      </c>
      <c r="D32" s="4" t="s">
        <v>24</v>
      </c>
      <c r="E32" s="4" t="s">
        <v>46</v>
      </c>
      <c r="F32" s="4" t="s">
        <v>85</v>
      </c>
      <c r="G32" s="4"/>
      <c r="H32" s="4"/>
      <c r="I32" s="4"/>
      <c r="J32" s="4"/>
      <c r="K32" s="4" t="s">
        <v>15</v>
      </c>
      <c r="L32" s="4" t="s">
        <v>15</v>
      </c>
    </row>
    <row r="33" spans="1:12" ht="21.6" x14ac:dyDescent="0.3">
      <c r="A33" s="3">
        <v>25</v>
      </c>
      <c r="B33" s="4" t="s">
        <v>86</v>
      </c>
      <c r="C33" s="4" t="s">
        <v>87</v>
      </c>
      <c r="D33" s="4" t="s">
        <v>24</v>
      </c>
      <c r="E33" s="4" t="s">
        <v>31</v>
      </c>
      <c r="F33" s="4" t="s">
        <v>88</v>
      </c>
      <c r="G33" s="4"/>
      <c r="H33" s="4"/>
      <c r="I33" s="4"/>
      <c r="J33" s="4"/>
      <c r="K33" s="4"/>
      <c r="L33" s="4" t="s">
        <v>15</v>
      </c>
    </row>
    <row r="34" spans="1:12" ht="31.8" x14ac:dyDescent="0.3">
      <c r="A34" s="3">
        <v>26</v>
      </c>
      <c r="B34" s="4" t="s">
        <v>89</v>
      </c>
      <c r="C34" s="4" t="s">
        <v>90</v>
      </c>
      <c r="D34" s="4" t="s">
        <v>16</v>
      </c>
      <c r="E34" s="4" t="s">
        <v>15</v>
      </c>
      <c r="F34" s="4" t="s">
        <v>15</v>
      </c>
      <c r="G34" s="4"/>
      <c r="H34" s="4"/>
      <c r="I34" s="4"/>
      <c r="J34" s="4"/>
      <c r="K34" s="4" t="s">
        <v>15</v>
      </c>
      <c r="L34" s="4" t="s">
        <v>15</v>
      </c>
    </row>
    <row r="35" spans="1:12" ht="42" x14ac:dyDescent="0.3">
      <c r="A35" s="3">
        <v>27</v>
      </c>
      <c r="B35" s="4" t="s">
        <v>91</v>
      </c>
      <c r="C35" s="4" t="s">
        <v>15</v>
      </c>
      <c r="D35" s="4" t="s">
        <v>16</v>
      </c>
      <c r="E35" s="4" t="s">
        <v>15</v>
      </c>
      <c r="F35" s="4" t="s">
        <v>15</v>
      </c>
      <c r="G35" s="4"/>
      <c r="H35" s="4"/>
      <c r="I35" s="4"/>
      <c r="J35" s="4"/>
      <c r="K35" s="4" t="s">
        <v>15</v>
      </c>
      <c r="L35" s="4" t="s">
        <v>15</v>
      </c>
    </row>
    <row r="36" spans="1:12" ht="21.6" x14ac:dyDescent="0.3">
      <c r="A36" s="3" t="s">
        <v>15</v>
      </c>
      <c r="B36" s="4" t="s">
        <v>73</v>
      </c>
      <c r="C36" s="4" t="s">
        <v>92</v>
      </c>
      <c r="D36" s="4" t="s">
        <v>16</v>
      </c>
      <c r="E36" s="4" t="s">
        <v>15</v>
      </c>
      <c r="F36" s="4" t="s">
        <v>15</v>
      </c>
      <c r="G36" s="4"/>
      <c r="H36" s="4"/>
      <c r="I36" s="4"/>
      <c r="J36" s="4"/>
      <c r="K36" s="4" t="s">
        <v>15</v>
      </c>
      <c r="L36" s="4" t="s">
        <v>15</v>
      </c>
    </row>
    <row r="37" spans="1:12" ht="31.8" x14ac:dyDescent="0.3">
      <c r="A37" s="3">
        <v>28</v>
      </c>
      <c r="B37" s="4" t="s">
        <v>93</v>
      </c>
      <c r="C37" s="4" t="s">
        <v>94</v>
      </c>
      <c r="D37" s="4" t="s">
        <v>24</v>
      </c>
      <c r="E37" s="4" t="s">
        <v>31</v>
      </c>
      <c r="F37" s="4" t="s">
        <v>95</v>
      </c>
      <c r="G37" s="4"/>
      <c r="H37" s="4"/>
      <c r="I37" s="4"/>
      <c r="J37" s="4"/>
      <c r="K37" s="4" t="s">
        <v>15</v>
      </c>
      <c r="L37" s="4" t="s">
        <v>15</v>
      </c>
    </row>
    <row r="38" spans="1:12" ht="21.6" x14ac:dyDescent="0.3">
      <c r="A38" s="3" t="s">
        <v>15</v>
      </c>
      <c r="B38" s="4" t="s">
        <v>73</v>
      </c>
      <c r="C38" s="4" t="s">
        <v>96</v>
      </c>
      <c r="D38" s="4" t="s">
        <v>16</v>
      </c>
      <c r="E38" s="4" t="s">
        <v>15</v>
      </c>
      <c r="F38" s="4" t="s">
        <v>15</v>
      </c>
      <c r="G38" s="4"/>
      <c r="H38" s="4"/>
      <c r="I38" s="4"/>
      <c r="J38" s="4"/>
      <c r="K38" s="4" t="s">
        <v>15</v>
      </c>
      <c r="L38" s="4" t="s">
        <v>15</v>
      </c>
    </row>
    <row r="39" spans="1:12" ht="31.8" x14ac:dyDescent="0.3">
      <c r="A39" s="3">
        <v>29</v>
      </c>
      <c r="B39" s="4" t="s">
        <v>97</v>
      </c>
      <c r="C39" s="4" t="s">
        <v>98</v>
      </c>
      <c r="D39" s="4" t="s">
        <v>24</v>
      </c>
      <c r="E39" s="4" t="s">
        <v>31</v>
      </c>
      <c r="F39" s="4" t="s">
        <v>99</v>
      </c>
      <c r="G39" s="4"/>
      <c r="H39" s="4"/>
      <c r="I39" s="4"/>
      <c r="J39" s="4"/>
      <c r="K39" s="8" t="s">
        <v>15</v>
      </c>
      <c r="L39" s="4" t="s">
        <v>15</v>
      </c>
    </row>
    <row r="40" spans="1:12" ht="31.8" x14ac:dyDescent="0.3">
      <c r="A40" s="3">
        <v>30</v>
      </c>
      <c r="B40" s="4" t="s">
        <v>100</v>
      </c>
      <c r="C40" s="4" t="s">
        <v>101</v>
      </c>
      <c r="D40" s="4" t="s">
        <v>24</v>
      </c>
      <c r="E40" s="4" t="s">
        <v>25</v>
      </c>
      <c r="F40" s="4" t="s">
        <v>102</v>
      </c>
      <c r="G40" s="4"/>
      <c r="H40" s="4"/>
      <c r="I40" s="4"/>
      <c r="J40" s="4"/>
      <c r="K40" s="4" t="s">
        <v>15</v>
      </c>
      <c r="L40" s="4" t="s">
        <v>15</v>
      </c>
    </row>
    <row r="41" spans="1:12" ht="31.8" x14ac:dyDescent="0.3">
      <c r="A41" s="3">
        <v>31</v>
      </c>
      <c r="B41" s="4" t="s">
        <v>103</v>
      </c>
      <c r="C41" s="4" t="s">
        <v>104</v>
      </c>
      <c r="D41" s="4" t="s">
        <v>24</v>
      </c>
      <c r="E41" s="4" t="s">
        <v>25</v>
      </c>
      <c r="F41" s="4" t="s">
        <v>105</v>
      </c>
      <c r="G41" s="4"/>
      <c r="H41" s="4"/>
      <c r="I41" s="4"/>
      <c r="J41" s="4"/>
      <c r="K41" s="4" t="s">
        <v>15</v>
      </c>
      <c r="L41" s="4" t="s">
        <v>15</v>
      </c>
    </row>
    <row r="42" spans="1:12" ht="62.4" x14ac:dyDescent="0.3">
      <c r="A42" s="3">
        <v>32</v>
      </c>
      <c r="B42" s="4" t="s">
        <v>106</v>
      </c>
      <c r="C42" s="4" t="s">
        <v>107</v>
      </c>
      <c r="D42" s="4" t="s">
        <v>24</v>
      </c>
      <c r="E42" s="4" t="s">
        <v>31</v>
      </c>
      <c r="F42" s="4" t="s">
        <v>108</v>
      </c>
      <c r="G42" s="4"/>
      <c r="H42" s="4"/>
      <c r="I42" s="4"/>
      <c r="J42" s="4"/>
      <c r="K42" s="4"/>
      <c r="L42" s="4" t="s">
        <v>15</v>
      </c>
    </row>
    <row r="43" spans="1:12" ht="42" x14ac:dyDescent="0.3">
      <c r="A43" s="3">
        <v>33</v>
      </c>
      <c r="B43" s="4" t="s">
        <v>109</v>
      </c>
      <c r="C43" s="4" t="s">
        <v>110</v>
      </c>
      <c r="D43" s="4" t="s">
        <v>54</v>
      </c>
      <c r="E43" s="4" t="s">
        <v>55</v>
      </c>
      <c r="F43" s="4" t="s">
        <v>111</v>
      </c>
      <c r="G43" s="4"/>
      <c r="H43" s="4"/>
      <c r="I43" s="4"/>
      <c r="J43" s="4"/>
      <c r="K43" s="4" t="s">
        <v>15</v>
      </c>
      <c r="L43" s="4" t="s">
        <v>15</v>
      </c>
    </row>
    <row r="44" spans="1:12" ht="52.2" x14ac:dyDescent="0.3">
      <c r="A44" s="3">
        <v>34</v>
      </c>
      <c r="B44" s="4" t="s">
        <v>112</v>
      </c>
      <c r="C44" s="4" t="s">
        <v>113</v>
      </c>
      <c r="D44" s="4" t="s">
        <v>54</v>
      </c>
      <c r="E44" s="4" t="s">
        <v>55</v>
      </c>
      <c r="F44" s="7" t="s">
        <v>114</v>
      </c>
      <c r="G44" s="7"/>
      <c r="H44" s="7"/>
      <c r="I44" s="7"/>
      <c r="J44" s="7"/>
      <c r="K44" s="4" t="s">
        <v>15</v>
      </c>
      <c r="L44" s="4" t="s">
        <v>15</v>
      </c>
    </row>
    <row r="45" spans="1:12" ht="52.2" x14ac:dyDescent="0.3">
      <c r="A45" s="3">
        <v>34</v>
      </c>
      <c r="B45" s="4" t="s">
        <v>112</v>
      </c>
      <c r="C45" s="4" t="s">
        <v>113</v>
      </c>
      <c r="D45" s="4" t="s">
        <v>24</v>
      </c>
      <c r="E45" s="4" t="s">
        <v>31</v>
      </c>
      <c r="F45" s="7" t="s">
        <v>115</v>
      </c>
      <c r="G45" s="7"/>
      <c r="H45" s="7"/>
      <c r="I45" s="7"/>
      <c r="J45" s="7"/>
      <c r="K45" s="4" t="s">
        <v>15</v>
      </c>
      <c r="L45" s="4" t="s">
        <v>15</v>
      </c>
    </row>
    <row r="46" spans="1:12" ht="31.8" x14ac:dyDescent="0.3">
      <c r="A46" s="3">
        <v>35</v>
      </c>
      <c r="B46" s="4" t="s">
        <v>116</v>
      </c>
      <c r="C46" s="4" t="s">
        <v>117</v>
      </c>
      <c r="D46" s="4" t="s">
        <v>54</v>
      </c>
      <c r="E46" s="7" t="s">
        <v>55</v>
      </c>
      <c r="F46" s="7" t="s">
        <v>118</v>
      </c>
      <c r="G46" s="7"/>
      <c r="H46" s="7"/>
      <c r="I46" s="7"/>
      <c r="J46" s="7"/>
      <c r="K46" s="4" t="s">
        <v>15</v>
      </c>
      <c r="L46" s="4" t="s">
        <v>15</v>
      </c>
    </row>
    <row r="47" spans="1:12" ht="21.6" x14ac:dyDescent="0.3">
      <c r="A47" s="3">
        <v>36</v>
      </c>
      <c r="B47" s="4" t="s">
        <v>119</v>
      </c>
      <c r="C47" s="4" t="s">
        <v>120</v>
      </c>
      <c r="D47" s="4" t="s">
        <v>24</v>
      </c>
      <c r="E47" s="7" t="s">
        <v>31</v>
      </c>
      <c r="F47" s="7" t="s">
        <v>121</v>
      </c>
      <c r="G47" s="7"/>
      <c r="H47" s="7"/>
      <c r="I47" s="7"/>
      <c r="J47" s="7"/>
      <c r="K47" s="4" t="s">
        <v>15</v>
      </c>
      <c r="L47" s="4" t="s">
        <v>15</v>
      </c>
    </row>
    <row r="48" spans="1:12" ht="21.6" x14ac:dyDescent="0.3">
      <c r="A48" s="3">
        <v>36</v>
      </c>
      <c r="B48" s="4" t="s">
        <v>119</v>
      </c>
      <c r="C48" s="4" t="s">
        <v>120</v>
      </c>
      <c r="D48" s="4" t="s">
        <v>24</v>
      </c>
      <c r="E48" s="7" t="s">
        <v>57</v>
      </c>
      <c r="F48" s="7" t="s">
        <v>121</v>
      </c>
      <c r="G48" s="7"/>
      <c r="H48" s="7"/>
      <c r="I48" s="7"/>
      <c r="J48" s="7"/>
      <c r="K48" s="4" t="s">
        <v>15</v>
      </c>
      <c r="L48" s="4" t="s">
        <v>15</v>
      </c>
    </row>
    <row r="49" spans="1:12" ht="21.6" x14ac:dyDescent="0.3">
      <c r="A49" s="3" t="s">
        <v>15</v>
      </c>
      <c r="B49" s="4" t="s">
        <v>73</v>
      </c>
      <c r="C49" s="4" t="s">
        <v>122</v>
      </c>
      <c r="D49" s="4" t="s">
        <v>16</v>
      </c>
      <c r="E49" s="4" t="s">
        <v>15</v>
      </c>
      <c r="F49" s="4" t="s">
        <v>15</v>
      </c>
      <c r="G49" s="4"/>
      <c r="H49" s="4"/>
      <c r="I49" s="4"/>
      <c r="J49" s="4"/>
      <c r="K49" s="4" t="s">
        <v>15</v>
      </c>
      <c r="L49" s="4" t="s">
        <v>15</v>
      </c>
    </row>
    <row r="50" spans="1:12" ht="42" x14ac:dyDescent="0.3">
      <c r="A50" s="3">
        <v>37</v>
      </c>
      <c r="B50" s="4" t="s">
        <v>123</v>
      </c>
      <c r="C50" s="4" t="s">
        <v>124</v>
      </c>
      <c r="D50" s="4" t="s">
        <v>24</v>
      </c>
      <c r="E50" s="4" t="s">
        <v>25</v>
      </c>
      <c r="F50" s="4" t="s">
        <v>125</v>
      </c>
      <c r="G50" s="4"/>
      <c r="H50" s="4"/>
      <c r="I50" s="4"/>
      <c r="J50" s="4"/>
      <c r="K50" s="4" t="s">
        <v>15</v>
      </c>
      <c r="L50" s="4" t="s">
        <v>15</v>
      </c>
    </row>
    <row r="51" spans="1:12" ht="82.8" x14ac:dyDescent="0.3">
      <c r="A51" s="3">
        <v>38</v>
      </c>
      <c r="B51" s="7" t="s">
        <v>126</v>
      </c>
      <c r="C51" s="4" t="s">
        <v>127</v>
      </c>
      <c r="D51" s="7" t="s">
        <v>128</v>
      </c>
      <c r="E51" s="4" t="s">
        <v>31</v>
      </c>
      <c r="F51" s="4" t="s">
        <v>129</v>
      </c>
      <c r="G51" s="4"/>
      <c r="H51" s="4"/>
      <c r="I51" s="4"/>
      <c r="J51" s="4"/>
      <c r="K51" s="4" t="s">
        <v>15</v>
      </c>
      <c r="L51" s="4" t="s">
        <v>15</v>
      </c>
    </row>
    <row r="52" spans="1:12" ht="42" x14ac:dyDescent="0.3">
      <c r="A52" s="3">
        <v>38</v>
      </c>
      <c r="B52" s="7" t="s">
        <v>126</v>
      </c>
      <c r="C52" s="4" t="s">
        <v>127</v>
      </c>
      <c r="D52" s="7" t="s">
        <v>130</v>
      </c>
      <c r="E52" s="4" t="s">
        <v>25</v>
      </c>
      <c r="F52" s="4" t="s">
        <v>131</v>
      </c>
      <c r="G52" s="4"/>
      <c r="H52" s="4"/>
      <c r="I52" s="4"/>
      <c r="J52" s="4"/>
      <c r="K52" s="4" t="s">
        <v>15</v>
      </c>
      <c r="L52" s="4" t="s">
        <v>15</v>
      </c>
    </row>
    <row r="53" spans="1:12" ht="42" x14ac:dyDescent="0.3">
      <c r="A53" s="3">
        <v>39</v>
      </c>
      <c r="B53" s="7" t="s">
        <v>132</v>
      </c>
      <c r="C53" s="4" t="s">
        <v>133</v>
      </c>
      <c r="D53" s="4" t="s">
        <v>24</v>
      </c>
      <c r="E53" s="7" t="s">
        <v>31</v>
      </c>
      <c r="F53" s="7" t="s">
        <v>134</v>
      </c>
      <c r="G53" s="7"/>
      <c r="H53" s="7"/>
      <c r="I53" s="7"/>
      <c r="J53" s="7"/>
      <c r="K53" s="4" t="s">
        <v>15</v>
      </c>
      <c r="L53" s="4" t="s">
        <v>15</v>
      </c>
    </row>
    <row r="54" spans="1:12" ht="21.6" x14ac:dyDescent="0.3">
      <c r="A54" s="3">
        <v>40</v>
      </c>
      <c r="B54" s="7" t="s">
        <v>135</v>
      </c>
      <c r="C54" s="4" t="s">
        <v>136</v>
      </c>
      <c r="D54" s="4" t="s">
        <v>24</v>
      </c>
      <c r="E54" s="4" t="s">
        <v>25</v>
      </c>
      <c r="F54" s="4" t="s">
        <v>137</v>
      </c>
      <c r="G54" s="4"/>
      <c r="H54" s="4"/>
      <c r="I54" s="4"/>
      <c r="J54" s="4"/>
      <c r="K54" s="8" t="s">
        <v>15</v>
      </c>
      <c r="L54" s="4" t="s">
        <v>15</v>
      </c>
    </row>
    <row r="55" spans="1:12" ht="21.6" x14ac:dyDescent="0.3">
      <c r="A55" s="3">
        <v>41</v>
      </c>
      <c r="B55" s="4" t="s">
        <v>138</v>
      </c>
      <c r="C55" s="4" t="s">
        <v>139</v>
      </c>
      <c r="D55" s="4" t="s">
        <v>24</v>
      </c>
      <c r="E55" s="7" t="s">
        <v>31</v>
      </c>
      <c r="F55" s="4" t="s">
        <v>140</v>
      </c>
      <c r="G55" s="4"/>
      <c r="H55" s="4"/>
      <c r="I55" s="4"/>
      <c r="J55" s="4"/>
      <c r="K55" s="4" t="s">
        <v>15</v>
      </c>
      <c r="L55" s="4" t="s">
        <v>15</v>
      </c>
    </row>
    <row r="56" spans="1:12" ht="42" x14ac:dyDescent="0.3">
      <c r="A56" s="3">
        <v>42</v>
      </c>
      <c r="B56" s="4" t="s">
        <v>141</v>
      </c>
      <c r="C56" s="4" t="s">
        <v>142</v>
      </c>
      <c r="D56" s="4" t="s">
        <v>24</v>
      </c>
      <c r="E56" s="4" t="s">
        <v>25</v>
      </c>
      <c r="F56" s="4" t="s">
        <v>143</v>
      </c>
      <c r="G56" s="4"/>
      <c r="H56" s="4"/>
      <c r="I56" s="4"/>
      <c r="J56" s="4"/>
      <c r="K56" s="4" t="s">
        <v>15</v>
      </c>
      <c r="L56" s="4" t="s">
        <v>15</v>
      </c>
    </row>
    <row r="57" spans="1:12" ht="42" x14ac:dyDescent="0.3">
      <c r="A57" s="3">
        <v>43</v>
      </c>
      <c r="B57" s="4" t="s">
        <v>144</v>
      </c>
      <c r="C57" s="4" t="s">
        <v>145</v>
      </c>
      <c r="D57" s="4" t="s">
        <v>24</v>
      </c>
      <c r="E57" s="4" t="s">
        <v>25</v>
      </c>
      <c r="F57" s="4" t="s">
        <v>146</v>
      </c>
      <c r="G57" s="4"/>
      <c r="H57" s="4"/>
      <c r="I57" s="4"/>
      <c r="J57" s="4"/>
      <c r="K57" s="4" t="s">
        <v>15</v>
      </c>
      <c r="L57" s="4" t="s">
        <v>15</v>
      </c>
    </row>
    <row r="58" spans="1:12" ht="42" x14ac:dyDescent="0.3">
      <c r="A58" s="3">
        <v>44</v>
      </c>
      <c r="B58" s="4" t="s">
        <v>147</v>
      </c>
      <c r="C58" s="4" t="s">
        <v>148</v>
      </c>
      <c r="D58" s="4" t="s">
        <v>24</v>
      </c>
      <c r="E58" s="4" t="s">
        <v>25</v>
      </c>
      <c r="F58" s="4" t="s">
        <v>149</v>
      </c>
      <c r="G58" s="4"/>
      <c r="H58" s="4"/>
      <c r="I58" s="4"/>
      <c r="J58" s="4"/>
      <c r="K58" s="4" t="s">
        <v>15</v>
      </c>
      <c r="L58" s="4" t="s">
        <v>15</v>
      </c>
    </row>
    <row r="59" spans="1:12" ht="42" x14ac:dyDescent="0.3">
      <c r="A59" s="3">
        <v>45</v>
      </c>
      <c r="B59" s="4" t="s">
        <v>150</v>
      </c>
      <c r="C59" s="4" t="s">
        <v>151</v>
      </c>
      <c r="D59" s="4" t="s">
        <v>24</v>
      </c>
      <c r="E59" s="4" t="s">
        <v>25</v>
      </c>
      <c r="F59" s="4" t="s">
        <v>152</v>
      </c>
      <c r="G59" s="4"/>
      <c r="H59" s="4"/>
      <c r="I59" s="4"/>
      <c r="J59" s="4"/>
      <c r="K59" s="4" t="s">
        <v>15</v>
      </c>
      <c r="L59" s="4" t="s">
        <v>15</v>
      </c>
    </row>
    <row r="60" spans="1:12" ht="42" x14ac:dyDescent="0.3">
      <c r="A60" s="3">
        <v>46</v>
      </c>
      <c r="B60" s="4" t="s">
        <v>153</v>
      </c>
      <c r="C60" s="4" t="s">
        <v>154</v>
      </c>
      <c r="D60" s="4" t="s">
        <v>24</v>
      </c>
      <c r="E60" s="4" t="s">
        <v>25</v>
      </c>
      <c r="F60" s="4" t="s">
        <v>155</v>
      </c>
      <c r="G60" s="4"/>
      <c r="H60" s="4"/>
      <c r="I60" s="4"/>
      <c r="J60" s="4"/>
      <c r="K60" s="4" t="s">
        <v>15</v>
      </c>
      <c r="L60" s="4" t="s">
        <v>15</v>
      </c>
    </row>
    <row r="61" spans="1:12" ht="42" x14ac:dyDescent="0.3">
      <c r="A61" s="3">
        <v>47</v>
      </c>
      <c r="B61" s="4" t="s">
        <v>156</v>
      </c>
      <c r="C61" s="4" t="s">
        <v>15</v>
      </c>
      <c r="D61" s="4" t="s">
        <v>16</v>
      </c>
      <c r="E61" s="4" t="s">
        <v>15</v>
      </c>
      <c r="F61" s="4" t="s">
        <v>15</v>
      </c>
      <c r="G61" s="4"/>
      <c r="H61" s="4"/>
      <c r="I61" s="4"/>
      <c r="J61" s="4"/>
      <c r="K61" s="4" t="s">
        <v>15</v>
      </c>
      <c r="L61" s="4" t="s">
        <v>15</v>
      </c>
    </row>
    <row r="62" spans="1:12" ht="93" x14ac:dyDescent="0.3">
      <c r="A62" s="3">
        <v>48</v>
      </c>
      <c r="B62" s="7" t="s">
        <v>157</v>
      </c>
      <c r="C62" s="4" t="s">
        <v>158</v>
      </c>
      <c r="D62" s="7" t="s">
        <v>159</v>
      </c>
      <c r="E62" s="7" t="s">
        <v>160</v>
      </c>
      <c r="F62" s="7" t="s">
        <v>161</v>
      </c>
      <c r="G62" s="7"/>
      <c r="H62" s="7"/>
      <c r="I62" s="7"/>
      <c r="J62" s="7"/>
      <c r="K62" s="4"/>
      <c r="L62" s="4" t="s">
        <v>15</v>
      </c>
    </row>
    <row r="63" spans="1:12" ht="52.2" x14ac:dyDescent="0.3">
      <c r="A63" s="3">
        <v>48</v>
      </c>
      <c r="B63" s="7" t="s">
        <v>157</v>
      </c>
      <c r="C63" s="4" t="s">
        <v>158</v>
      </c>
      <c r="D63" s="4" t="s">
        <v>24</v>
      </c>
      <c r="E63" s="7" t="s">
        <v>162</v>
      </c>
      <c r="F63" s="7" t="s">
        <v>161</v>
      </c>
      <c r="G63" s="7"/>
      <c r="H63" s="7"/>
      <c r="I63" s="7"/>
      <c r="J63" s="7"/>
      <c r="K63" s="4"/>
      <c r="L63" s="4" t="s">
        <v>15</v>
      </c>
    </row>
    <row r="64" spans="1:12" ht="93" x14ac:dyDescent="0.3">
      <c r="A64" s="3">
        <v>49</v>
      </c>
      <c r="B64" s="7" t="s">
        <v>163</v>
      </c>
      <c r="C64" s="4" t="s">
        <v>164</v>
      </c>
      <c r="D64" s="7" t="s">
        <v>159</v>
      </c>
      <c r="E64" s="7" t="s">
        <v>160</v>
      </c>
      <c r="F64" s="7" t="s">
        <v>165</v>
      </c>
      <c r="G64" s="7"/>
      <c r="H64" s="7"/>
      <c r="I64" s="7"/>
      <c r="J64" s="7"/>
      <c r="K64" s="4" t="s">
        <v>15</v>
      </c>
      <c r="L64" s="4" t="s">
        <v>15</v>
      </c>
    </row>
    <row r="65" spans="1:12" ht="42" x14ac:dyDescent="0.3">
      <c r="A65" s="3">
        <v>49</v>
      </c>
      <c r="B65" s="7" t="s">
        <v>163</v>
      </c>
      <c r="C65" s="4" t="s">
        <v>164</v>
      </c>
      <c r="D65" s="4" t="s">
        <v>24</v>
      </c>
      <c r="E65" s="7" t="s">
        <v>162</v>
      </c>
      <c r="F65" s="7" t="s">
        <v>166</v>
      </c>
      <c r="G65" s="7"/>
      <c r="H65" s="7"/>
      <c r="I65" s="7"/>
      <c r="J65" s="7"/>
      <c r="K65" s="4" t="s">
        <v>15</v>
      </c>
      <c r="L65" s="4" t="s">
        <v>15</v>
      </c>
    </row>
    <row r="66" spans="1:12" ht="21.6" x14ac:dyDescent="0.3">
      <c r="A66" s="3" t="s">
        <v>15</v>
      </c>
      <c r="B66" s="4" t="s">
        <v>73</v>
      </c>
      <c r="C66" s="4" t="s">
        <v>167</v>
      </c>
      <c r="D66" s="4" t="s">
        <v>16</v>
      </c>
      <c r="E66" s="4" t="s">
        <v>15</v>
      </c>
      <c r="F66" s="4" t="s">
        <v>15</v>
      </c>
      <c r="G66" s="4"/>
      <c r="H66" s="4"/>
      <c r="I66" s="4"/>
      <c r="J66" s="4"/>
      <c r="K66" s="8" t="s">
        <v>15</v>
      </c>
      <c r="L66" s="4" t="s">
        <v>15</v>
      </c>
    </row>
    <row r="67" spans="1:12" ht="42" x14ac:dyDescent="0.3">
      <c r="A67" s="3">
        <v>50</v>
      </c>
      <c r="B67" s="4" t="s">
        <v>168</v>
      </c>
      <c r="C67" s="4" t="s">
        <v>169</v>
      </c>
      <c r="D67" s="4" t="s">
        <v>24</v>
      </c>
      <c r="E67" s="4" t="s">
        <v>170</v>
      </c>
      <c r="F67" s="4" t="s">
        <v>171</v>
      </c>
      <c r="G67" s="4"/>
      <c r="H67" s="4"/>
      <c r="I67" s="4"/>
      <c r="J67" s="4"/>
      <c r="K67" s="4" t="s">
        <v>15</v>
      </c>
      <c r="L67" s="4" t="s">
        <v>15</v>
      </c>
    </row>
    <row r="68" spans="1:12" ht="62.4" x14ac:dyDescent="0.3">
      <c r="A68" s="3">
        <v>51</v>
      </c>
      <c r="B68" s="4" t="s">
        <v>172</v>
      </c>
      <c r="C68" s="4" t="s">
        <v>173</v>
      </c>
      <c r="D68" s="4" t="s">
        <v>24</v>
      </c>
      <c r="E68" s="4" t="s">
        <v>25</v>
      </c>
      <c r="F68" s="4" t="s">
        <v>174</v>
      </c>
      <c r="G68" s="4"/>
      <c r="H68" s="4"/>
      <c r="I68" s="4"/>
      <c r="J68" s="4"/>
      <c r="K68" s="4" t="s">
        <v>15</v>
      </c>
      <c r="L68" s="4" t="s">
        <v>15</v>
      </c>
    </row>
    <row r="69" spans="1:12" ht="31.8" x14ac:dyDescent="0.3">
      <c r="A69" s="3">
        <v>52</v>
      </c>
      <c r="B69" s="4" t="s">
        <v>175</v>
      </c>
      <c r="C69" s="4" t="s">
        <v>176</v>
      </c>
      <c r="D69" s="4" t="s">
        <v>24</v>
      </c>
      <c r="E69" s="4" t="s">
        <v>31</v>
      </c>
      <c r="F69" s="4" t="s">
        <v>177</v>
      </c>
      <c r="G69" s="4"/>
      <c r="H69" s="4"/>
      <c r="I69" s="4"/>
      <c r="J69" s="4"/>
      <c r="K69" s="4" t="s">
        <v>15</v>
      </c>
      <c r="L69" s="4" t="s">
        <v>15</v>
      </c>
    </row>
    <row r="70" spans="1:12" ht="52.2" x14ac:dyDescent="0.3">
      <c r="A70" s="3">
        <v>53</v>
      </c>
      <c r="B70" s="4" t="s">
        <v>178</v>
      </c>
      <c r="C70" s="4" t="s">
        <v>179</v>
      </c>
      <c r="D70" s="4" t="s">
        <v>24</v>
      </c>
      <c r="E70" s="4" t="s">
        <v>170</v>
      </c>
      <c r="F70" s="4" t="s">
        <v>180</v>
      </c>
      <c r="G70" s="4"/>
      <c r="H70" s="4"/>
      <c r="I70" s="4"/>
      <c r="J70" s="4"/>
      <c r="K70" s="4" t="s">
        <v>15</v>
      </c>
      <c r="L70" s="4" t="s">
        <v>15</v>
      </c>
    </row>
    <row r="71" spans="1:12" ht="21.6" x14ac:dyDescent="0.3">
      <c r="A71" s="3" t="s">
        <v>15</v>
      </c>
      <c r="B71" s="4" t="s">
        <v>73</v>
      </c>
      <c r="C71" s="4" t="s">
        <v>181</v>
      </c>
      <c r="D71" s="4" t="s">
        <v>16</v>
      </c>
      <c r="E71" s="4" t="s">
        <v>15</v>
      </c>
      <c r="F71" s="4" t="s">
        <v>15</v>
      </c>
      <c r="G71" s="4"/>
      <c r="H71" s="4"/>
      <c r="I71" s="4"/>
      <c r="J71" s="4"/>
      <c r="K71" s="4" t="s">
        <v>15</v>
      </c>
      <c r="L71" s="4" t="s">
        <v>15</v>
      </c>
    </row>
    <row r="72" spans="1:12" ht="52.2" x14ac:dyDescent="0.3">
      <c r="A72" s="3">
        <v>54</v>
      </c>
      <c r="B72" s="4" t="s">
        <v>182</v>
      </c>
      <c r="C72" s="4" t="s">
        <v>183</v>
      </c>
      <c r="D72" s="4" t="s">
        <v>24</v>
      </c>
      <c r="E72" s="4" t="s">
        <v>31</v>
      </c>
      <c r="F72" s="7" t="s">
        <v>184</v>
      </c>
      <c r="G72" s="7"/>
      <c r="H72" s="7"/>
      <c r="I72" s="7"/>
      <c r="J72" s="7"/>
      <c r="K72" s="4" t="s">
        <v>15</v>
      </c>
      <c r="L72" s="4" t="s">
        <v>15</v>
      </c>
    </row>
    <row r="73" spans="1:12" ht="62.4" x14ac:dyDescent="0.3">
      <c r="A73" s="3">
        <v>55</v>
      </c>
      <c r="B73" s="4" t="s">
        <v>185</v>
      </c>
      <c r="C73" s="4" t="s">
        <v>186</v>
      </c>
      <c r="D73" s="7" t="s">
        <v>187</v>
      </c>
      <c r="E73" s="7" t="s">
        <v>31</v>
      </c>
      <c r="F73" s="7" t="s">
        <v>188</v>
      </c>
      <c r="G73" s="7"/>
      <c r="H73" s="7"/>
      <c r="I73" s="7"/>
      <c r="J73" s="7"/>
      <c r="K73" s="4"/>
      <c r="L73" s="4" t="s">
        <v>15</v>
      </c>
    </row>
    <row r="74" spans="1:12" ht="52.2" x14ac:dyDescent="0.3">
      <c r="A74" s="3">
        <v>55</v>
      </c>
      <c r="B74" s="4" t="s">
        <v>185</v>
      </c>
      <c r="C74" s="4" t="s">
        <v>186</v>
      </c>
      <c r="D74" s="4" t="s">
        <v>24</v>
      </c>
      <c r="E74" s="4" t="s">
        <v>31</v>
      </c>
      <c r="F74" s="7" t="s">
        <v>189</v>
      </c>
      <c r="G74" s="7"/>
      <c r="H74" s="7"/>
      <c r="I74" s="7"/>
      <c r="J74" s="7"/>
      <c r="K74" s="4" t="s">
        <v>15</v>
      </c>
      <c r="L74" s="4" t="s">
        <v>15</v>
      </c>
    </row>
    <row r="75" spans="1:12" ht="62.4" x14ac:dyDescent="0.3">
      <c r="A75" s="3">
        <v>56</v>
      </c>
      <c r="B75" s="4" t="s">
        <v>190</v>
      </c>
      <c r="C75" s="4" t="s">
        <v>191</v>
      </c>
      <c r="D75" s="4" t="s">
        <v>24</v>
      </c>
      <c r="E75" s="4" t="s">
        <v>170</v>
      </c>
      <c r="F75" s="4" t="s">
        <v>192</v>
      </c>
      <c r="G75" s="4"/>
      <c r="H75" s="4"/>
      <c r="I75" s="4"/>
      <c r="J75" s="4"/>
      <c r="K75" s="4" t="s">
        <v>15</v>
      </c>
      <c r="L75" s="4" t="s">
        <v>15</v>
      </c>
    </row>
    <row r="76" spans="1:12" ht="42" x14ac:dyDescent="0.3">
      <c r="A76" s="3">
        <v>57</v>
      </c>
      <c r="B76" s="4" t="s">
        <v>193</v>
      </c>
      <c r="C76" s="4" t="s">
        <v>194</v>
      </c>
      <c r="D76" s="4" t="s">
        <v>24</v>
      </c>
      <c r="E76" s="4" t="s">
        <v>31</v>
      </c>
      <c r="F76" s="4" t="s">
        <v>195</v>
      </c>
      <c r="G76" s="4"/>
      <c r="H76" s="4"/>
      <c r="I76" s="4"/>
      <c r="J76" s="4"/>
      <c r="K76" s="4" t="s">
        <v>15</v>
      </c>
      <c r="L76" s="4" t="s">
        <v>15</v>
      </c>
    </row>
    <row r="77" spans="1:12" ht="42" x14ac:dyDescent="0.3">
      <c r="A77" s="3">
        <v>58</v>
      </c>
      <c r="B77" s="4" t="s">
        <v>196</v>
      </c>
      <c r="C77" s="4" t="s">
        <v>197</v>
      </c>
      <c r="D77" s="4" t="s">
        <v>24</v>
      </c>
      <c r="E77" s="4" t="s">
        <v>170</v>
      </c>
      <c r="F77" s="7" t="s">
        <v>198</v>
      </c>
      <c r="G77" s="7"/>
      <c r="H77" s="7"/>
      <c r="I77" s="7"/>
      <c r="J77" s="7"/>
      <c r="K77" s="8" t="s">
        <v>15</v>
      </c>
      <c r="L77" s="4" t="s">
        <v>15</v>
      </c>
    </row>
    <row r="78" spans="1:12" ht="42" x14ac:dyDescent="0.3">
      <c r="A78" s="3">
        <v>58</v>
      </c>
      <c r="B78" s="4" t="s">
        <v>196</v>
      </c>
      <c r="C78" s="4" t="s">
        <v>197</v>
      </c>
      <c r="D78" s="4" t="s">
        <v>24</v>
      </c>
      <c r="E78" s="4" t="s">
        <v>31</v>
      </c>
      <c r="F78" s="7" t="s">
        <v>199</v>
      </c>
      <c r="G78" s="7"/>
      <c r="H78" s="7"/>
      <c r="I78" s="7"/>
      <c r="J78" s="7"/>
      <c r="K78" s="4" t="s">
        <v>15</v>
      </c>
      <c r="L78" s="4" t="s">
        <v>15</v>
      </c>
    </row>
    <row r="79" spans="1:12" ht="52.2" x14ac:dyDescent="0.3">
      <c r="A79" s="3">
        <v>59</v>
      </c>
      <c r="B79" s="4" t="s">
        <v>200</v>
      </c>
      <c r="C79" s="4" t="s">
        <v>201</v>
      </c>
      <c r="D79" s="4" t="s">
        <v>24</v>
      </c>
      <c r="E79" s="4" t="s">
        <v>170</v>
      </c>
      <c r="F79" s="7" t="s">
        <v>202</v>
      </c>
      <c r="G79" s="7"/>
      <c r="H79" s="7"/>
      <c r="I79" s="7"/>
      <c r="J79" s="7"/>
      <c r="K79" s="4" t="s">
        <v>15</v>
      </c>
      <c r="L79" s="4" t="s">
        <v>15</v>
      </c>
    </row>
    <row r="80" spans="1:12" ht="52.2" x14ac:dyDescent="0.3">
      <c r="A80" s="3">
        <v>59</v>
      </c>
      <c r="B80" s="4" t="s">
        <v>200</v>
      </c>
      <c r="C80" s="4" t="s">
        <v>201</v>
      </c>
      <c r="D80" s="4" t="s">
        <v>24</v>
      </c>
      <c r="E80" s="4" t="s">
        <v>31</v>
      </c>
      <c r="F80" s="7" t="s">
        <v>203</v>
      </c>
      <c r="G80" s="7"/>
      <c r="H80" s="7"/>
      <c r="I80" s="7"/>
      <c r="J80" s="7"/>
      <c r="K80" s="4" t="s">
        <v>15</v>
      </c>
      <c r="L80" s="4" t="s">
        <v>15</v>
      </c>
    </row>
    <row r="81" spans="1:12" ht="52.2" x14ac:dyDescent="0.3">
      <c r="A81" s="3">
        <v>60</v>
      </c>
      <c r="B81" s="4" t="s">
        <v>204</v>
      </c>
      <c r="C81" s="4" t="s">
        <v>205</v>
      </c>
      <c r="D81" s="4" t="s">
        <v>24</v>
      </c>
      <c r="E81" s="4" t="s">
        <v>31</v>
      </c>
      <c r="F81" s="4" t="s">
        <v>206</v>
      </c>
      <c r="G81" s="4"/>
      <c r="H81" s="4"/>
      <c r="I81" s="4"/>
      <c r="J81" s="4"/>
      <c r="K81" s="4" t="s">
        <v>15</v>
      </c>
      <c r="L81" s="4" t="s">
        <v>15</v>
      </c>
    </row>
    <row r="82" spans="1:12" ht="52.2" x14ac:dyDescent="0.3">
      <c r="A82" s="3">
        <v>61</v>
      </c>
      <c r="B82" s="4" t="s">
        <v>207</v>
      </c>
      <c r="C82" s="4" t="s">
        <v>208</v>
      </c>
      <c r="D82" s="4" t="s">
        <v>24</v>
      </c>
      <c r="E82" s="4" t="s">
        <v>31</v>
      </c>
      <c r="F82" s="4" t="s">
        <v>209</v>
      </c>
      <c r="G82" s="4"/>
      <c r="H82" s="4"/>
      <c r="I82" s="4"/>
      <c r="J82" s="4"/>
      <c r="K82" s="4" t="s">
        <v>15</v>
      </c>
      <c r="L82" s="4" t="s">
        <v>15</v>
      </c>
    </row>
    <row r="83" spans="1:12" ht="52.2" x14ac:dyDescent="0.3">
      <c r="A83" s="3">
        <v>62</v>
      </c>
      <c r="B83" s="4" t="s">
        <v>210</v>
      </c>
      <c r="C83" s="4" t="s">
        <v>211</v>
      </c>
      <c r="D83" s="4" t="s">
        <v>24</v>
      </c>
      <c r="E83" s="4" t="s">
        <v>31</v>
      </c>
      <c r="F83" s="4" t="s">
        <v>212</v>
      </c>
      <c r="G83" s="4"/>
      <c r="H83" s="4"/>
      <c r="I83" s="4"/>
      <c r="J83" s="4"/>
      <c r="K83" s="4" t="s">
        <v>15</v>
      </c>
      <c r="L83" s="4" t="s">
        <v>15</v>
      </c>
    </row>
    <row r="84" spans="1:12" ht="42" x14ac:dyDescent="0.3">
      <c r="A84" s="3">
        <v>63</v>
      </c>
      <c r="B84" s="4" t="s">
        <v>213</v>
      </c>
      <c r="C84" s="4" t="s">
        <v>214</v>
      </c>
      <c r="D84" s="4" t="s">
        <v>16</v>
      </c>
      <c r="E84" s="4" t="s">
        <v>15</v>
      </c>
      <c r="F84" s="4" t="s">
        <v>15</v>
      </c>
      <c r="G84" s="4"/>
      <c r="H84" s="4"/>
      <c r="I84" s="4"/>
      <c r="J84" s="4"/>
      <c r="K84" s="4" t="s">
        <v>15</v>
      </c>
      <c r="L84" s="4" t="s">
        <v>15</v>
      </c>
    </row>
    <row r="85" spans="1:12" ht="52.2" x14ac:dyDescent="0.3">
      <c r="A85" s="3">
        <v>64</v>
      </c>
      <c r="B85" s="4" t="s">
        <v>215</v>
      </c>
      <c r="C85" s="4" t="s">
        <v>216</v>
      </c>
      <c r="D85" s="4" t="s">
        <v>24</v>
      </c>
      <c r="E85" s="4" t="s">
        <v>170</v>
      </c>
      <c r="F85" s="4" t="s">
        <v>217</v>
      </c>
      <c r="G85" s="4"/>
      <c r="H85" s="4"/>
      <c r="I85" s="4"/>
      <c r="J85" s="4"/>
      <c r="K85" s="4" t="s">
        <v>15</v>
      </c>
      <c r="L85" s="4" t="s">
        <v>15</v>
      </c>
    </row>
    <row r="86" spans="1:12" ht="62.4" x14ac:dyDescent="0.3">
      <c r="A86" s="3">
        <v>65</v>
      </c>
      <c r="B86" s="4" t="s">
        <v>218</v>
      </c>
      <c r="C86" s="4" t="s">
        <v>219</v>
      </c>
      <c r="D86" s="4" t="s">
        <v>24</v>
      </c>
      <c r="E86" s="4" t="s">
        <v>170</v>
      </c>
      <c r="F86" s="4" t="s">
        <v>220</v>
      </c>
      <c r="G86" s="4"/>
      <c r="H86" s="4"/>
      <c r="I86" s="4"/>
      <c r="J86" s="4"/>
      <c r="K86" s="4" t="s">
        <v>15</v>
      </c>
      <c r="L86" s="4" t="s">
        <v>15</v>
      </c>
    </row>
    <row r="87" spans="1:12" ht="52.2" x14ac:dyDescent="0.3">
      <c r="A87" s="3">
        <v>66</v>
      </c>
      <c r="B87" s="4" t="s">
        <v>221</v>
      </c>
      <c r="C87" s="4" t="s">
        <v>222</v>
      </c>
      <c r="D87" s="4" t="s">
        <v>24</v>
      </c>
      <c r="E87" s="4" t="s">
        <v>170</v>
      </c>
      <c r="F87" s="4" t="s">
        <v>223</v>
      </c>
      <c r="G87" s="4"/>
      <c r="H87" s="4"/>
      <c r="I87" s="4"/>
      <c r="J87" s="4"/>
      <c r="K87" s="4" t="s">
        <v>15</v>
      </c>
      <c r="L87" s="4" t="s">
        <v>15</v>
      </c>
    </row>
    <row r="88" spans="1:12" ht="31.8" x14ac:dyDescent="0.3">
      <c r="A88" s="3">
        <v>67</v>
      </c>
      <c r="B88" s="4" t="s">
        <v>224</v>
      </c>
      <c r="C88" s="4" t="s">
        <v>225</v>
      </c>
      <c r="D88" s="4" t="s">
        <v>24</v>
      </c>
      <c r="E88" s="4" t="s">
        <v>170</v>
      </c>
      <c r="F88" s="4" t="s">
        <v>226</v>
      </c>
      <c r="G88" s="4"/>
      <c r="H88" s="4"/>
      <c r="I88" s="4"/>
      <c r="J88" s="4"/>
      <c r="K88" s="4" t="s">
        <v>15</v>
      </c>
      <c r="L88" s="4" t="s">
        <v>15</v>
      </c>
    </row>
    <row r="89" spans="1:12" ht="42" x14ac:dyDescent="0.3">
      <c r="A89" s="3">
        <v>68</v>
      </c>
      <c r="B89" s="4" t="s">
        <v>227</v>
      </c>
      <c r="C89" s="4" t="s">
        <v>228</v>
      </c>
      <c r="D89" s="4" t="s">
        <v>24</v>
      </c>
      <c r="E89" s="4" t="s">
        <v>31</v>
      </c>
      <c r="F89" s="4" t="s">
        <v>229</v>
      </c>
      <c r="G89" s="4"/>
      <c r="H89" s="4"/>
      <c r="I89" s="4"/>
      <c r="J89" s="4"/>
      <c r="K89" s="4" t="s">
        <v>15</v>
      </c>
      <c r="L89" s="4" t="s">
        <v>15</v>
      </c>
    </row>
    <row r="90" spans="1:12" ht="21.6" x14ac:dyDescent="0.3">
      <c r="A90" s="3">
        <v>69</v>
      </c>
      <c r="B90" s="4" t="s">
        <v>230</v>
      </c>
      <c r="C90" s="4" t="s">
        <v>231</v>
      </c>
      <c r="D90" s="4" t="s">
        <v>24</v>
      </c>
      <c r="E90" s="4" t="s">
        <v>31</v>
      </c>
      <c r="F90" s="4" t="s">
        <v>232</v>
      </c>
      <c r="G90" s="4"/>
      <c r="H90" s="4"/>
      <c r="I90" s="4"/>
      <c r="J90" s="4"/>
      <c r="K90" s="4" t="s">
        <v>15</v>
      </c>
      <c r="L90" s="4" t="s">
        <v>15</v>
      </c>
    </row>
    <row r="91" spans="1:12" ht="42" x14ac:dyDescent="0.3">
      <c r="A91" s="3">
        <v>70</v>
      </c>
      <c r="B91" s="4" t="s">
        <v>233</v>
      </c>
      <c r="C91" s="4" t="s">
        <v>234</v>
      </c>
      <c r="D91" s="4" t="s">
        <v>24</v>
      </c>
      <c r="E91" s="4" t="s">
        <v>25</v>
      </c>
      <c r="F91" s="4" t="s">
        <v>234</v>
      </c>
      <c r="G91" s="4"/>
      <c r="H91" s="4"/>
      <c r="I91" s="4"/>
      <c r="J91" s="4"/>
      <c r="K91" s="4"/>
      <c r="L91" s="4" t="s">
        <v>15</v>
      </c>
    </row>
    <row r="92" spans="1:12" ht="42" x14ac:dyDescent="0.3">
      <c r="A92" s="3">
        <v>71</v>
      </c>
      <c r="B92" s="4" t="s">
        <v>235</v>
      </c>
      <c r="C92" s="4" t="s">
        <v>236</v>
      </c>
      <c r="D92" s="4" t="s">
        <v>24</v>
      </c>
      <c r="E92" s="4" t="s">
        <v>25</v>
      </c>
      <c r="F92" s="4" t="s">
        <v>236</v>
      </c>
      <c r="G92" s="4"/>
      <c r="H92" s="4"/>
      <c r="I92" s="4"/>
      <c r="J92" s="4"/>
      <c r="K92" s="4"/>
      <c r="L92" s="4" t="s">
        <v>15</v>
      </c>
    </row>
    <row r="93" spans="1:12" ht="42" x14ac:dyDescent="0.3">
      <c r="A93" s="3">
        <v>72</v>
      </c>
      <c r="B93" s="4" t="s">
        <v>237</v>
      </c>
      <c r="C93" s="4" t="s">
        <v>238</v>
      </c>
      <c r="D93" s="4" t="s">
        <v>24</v>
      </c>
      <c r="E93" s="4" t="s">
        <v>25</v>
      </c>
      <c r="F93" s="4" t="s">
        <v>238</v>
      </c>
      <c r="G93" s="4"/>
      <c r="H93" s="4"/>
      <c r="I93" s="4"/>
      <c r="J93" s="4"/>
      <c r="K93" s="4"/>
      <c r="L93" s="4" t="s">
        <v>15</v>
      </c>
    </row>
    <row r="94" spans="1:12" ht="42" x14ac:dyDescent="0.3">
      <c r="A94" s="3">
        <v>73</v>
      </c>
      <c r="B94" s="4" t="s">
        <v>239</v>
      </c>
      <c r="C94" s="4" t="s">
        <v>240</v>
      </c>
      <c r="D94" s="4" t="s">
        <v>24</v>
      </c>
      <c r="E94" s="4" t="s">
        <v>25</v>
      </c>
      <c r="F94" s="4" t="s">
        <v>240</v>
      </c>
      <c r="G94" s="4"/>
      <c r="H94" s="4"/>
      <c r="I94" s="4"/>
      <c r="J94" s="4"/>
      <c r="K94" s="4"/>
      <c r="L94" s="4" t="s">
        <v>15</v>
      </c>
    </row>
    <row r="95" spans="1:12" ht="31.8" x14ac:dyDescent="0.3">
      <c r="A95" s="3">
        <v>74</v>
      </c>
      <c r="B95" s="7" t="s">
        <v>241</v>
      </c>
      <c r="C95" s="4" t="s">
        <v>242</v>
      </c>
      <c r="D95" s="4" t="s">
        <v>24</v>
      </c>
      <c r="E95" s="4" t="s">
        <v>31</v>
      </c>
      <c r="F95" s="4" t="s">
        <v>242</v>
      </c>
      <c r="G95" s="4"/>
      <c r="H95" s="4"/>
      <c r="I95" s="4"/>
      <c r="J95" s="4"/>
      <c r="K95" s="4"/>
      <c r="L95" s="4" t="s">
        <v>15</v>
      </c>
    </row>
    <row r="96" spans="1:12" ht="31.8" x14ac:dyDescent="0.3">
      <c r="A96" s="3">
        <v>75</v>
      </c>
      <c r="B96" s="7" t="s">
        <v>243</v>
      </c>
      <c r="C96" s="4" t="s">
        <v>244</v>
      </c>
      <c r="D96" s="4" t="s">
        <v>24</v>
      </c>
      <c r="E96" s="4" t="s">
        <v>25</v>
      </c>
      <c r="F96" s="4" t="s">
        <v>244</v>
      </c>
      <c r="G96" s="4"/>
      <c r="H96" s="4"/>
      <c r="I96" s="4"/>
      <c r="J96" s="4"/>
      <c r="K96" s="4"/>
      <c r="L96" s="4" t="s">
        <v>245</v>
      </c>
    </row>
    <row r="97" spans="1:12" ht="31.8" x14ac:dyDescent="0.3">
      <c r="A97" s="3">
        <v>76</v>
      </c>
      <c r="B97" s="7" t="s">
        <v>246</v>
      </c>
      <c r="C97" s="4" t="s">
        <v>247</v>
      </c>
      <c r="D97" s="4" t="s">
        <v>24</v>
      </c>
      <c r="E97" s="4" t="s">
        <v>25</v>
      </c>
      <c r="F97" s="4" t="s">
        <v>247</v>
      </c>
      <c r="G97" s="4"/>
      <c r="H97" s="4"/>
      <c r="I97" s="4"/>
      <c r="J97" s="4"/>
      <c r="K97" s="4"/>
      <c r="L97" s="4" t="s">
        <v>245</v>
      </c>
    </row>
    <row r="98" spans="1:12" ht="31.8" x14ac:dyDescent="0.3">
      <c r="A98" s="3">
        <v>77</v>
      </c>
      <c r="B98" s="7" t="s">
        <v>248</v>
      </c>
      <c r="C98" s="4" t="s">
        <v>249</v>
      </c>
      <c r="D98" s="4" t="s">
        <v>24</v>
      </c>
      <c r="E98" s="4" t="s">
        <v>31</v>
      </c>
      <c r="F98" s="4" t="s">
        <v>249</v>
      </c>
      <c r="G98" s="4"/>
      <c r="H98" s="4"/>
      <c r="I98" s="4"/>
      <c r="J98" s="4"/>
      <c r="K98" s="4"/>
      <c r="L98" s="4" t="s">
        <v>15</v>
      </c>
    </row>
    <row r="99" spans="1:12" ht="31.8" x14ac:dyDescent="0.3">
      <c r="A99" s="3">
        <v>78</v>
      </c>
      <c r="B99" s="7" t="s">
        <v>250</v>
      </c>
      <c r="C99" s="4" t="s">
        <v>251</v>
      </c>
      <c r="D99" s="4" t="s">
        <v>24</v>
      </c>
      <c r="E99" s="4" t="s">
        <v>31</v>
      </c>
      <c r="F99" s="4" t="s">
        <v>251</v>
      </c>
      <c r="G99" s="4"/>
      <c r="H99" s="4"/>
      <c r="I99" s="4"/>
      <c r="J99" s="4"/>
      <c r="K99" s="4"/>
      <c r="L99" s="4" t="s">
        <v>15</v>
      </c>
    </row>
    <row r="100" spans="1:12" ht="42" x14ac:dyDescent="0.3">
      <c r="A100" s="3">
        <v>79</v>
      </c>
      <c r="B100" s="7" t="s">
        <v>252</v>
      </c>
      <c r="C100" s="4" t="s">
        <v>253</v>
      </c>
      <c r="D100" s="4" t="s">
        <v>24</v>
      </c>
      <c r="E100" s="4" t="s">
        <v>25</v>
      </c>
      <c r="F100" s="4" t="s">
        <v>254</v>
      </c>
      <c r="G100" s="4"/>
      <c r="H100" s="4"/>
      <c r="I100" s="4"/>
      <c r="J100" s="4"/>
      <c r="K100" s="4"/>
      <c r="L100" s="4" t="s">
        <v>245</v>
      </c>
    </row>
    <row r="101" spans="1:12" ht="42" x14ac:dyDescent="0.3">
      <c r="A101" s="3">
        <v>80</v>
      </c>
      <c r="B101" s="7" t="s">
        <v>255</v>
      </c>
      <c r="C101" s="7" t="s">
        <v>256</v>
      </c>
      <c r="D101" s="7" t="s">
        <v>24</v>
      </c>
      <c r="E101" s="7" t="s">
        <v>170</v>
      </c>
      <c r="F101" s="4" t="s">
        <v>257</v>
      </c>
      <c r="G101" s="4"/>
      <c r="H101" s="4"/>
      <c r="I101" s="4"/>
      <c r="J101" s="4"/>
      <c r="K101" s="7"/>
      <c r="L101" s="4" t="s">
        <v>15</v>
      </c>
    </row>
    <row r="102" spans="1:12" ht="52.2" x14ac:dyDescent="0.3">
      <c r="A102" s="3">
        <v>81</v>
      </c>
      <c r="B102" s="7" t="s">
        <v>258</v>
      </c>
      <c r="C102" s="7" t="s">
        <v>259</v>
      </c>
      <c r="D102" s="7" t="s">
        <v>24</v>
      </c>
      <c r="E102" s="7" t="s">
        <v>25</v>
      </c>
      <c r="F102" s="7" t="s">
        <v>260</v>
      </c>
      <c r="G102" s="7"/>
      <c r="H102" s="7"/>
      <c r="I102" s="7"/>
      <c r="J102" s="7"/>
      <c r="K102" s="7"/>
      <c r="L102" s="4" t="s">
        <v>15</v>
      </c>
    </row>
    <row r="103" spans="1:12" ht="62.4" x14ac:dyDescent="0.3">
      <c r="A103" s="3">
        <v>82</v>
      </c>
      <c r="B103" s="7" t="s">
        <v>261</v>
      </c>
      <c r="C103" s="7" t="s">
        <v>262</v>
      </c>
      <c r="D103" s="7" t="s">
        <v>24</v>
      </c>
      <c r="E103" s="7" t="s">
        <v>25</v>
      </c>
      <c r="F103" s="7" t="s">
        <v>262</v>
      </c>
      <c r="G103" s="7"/>
      <c r="H103" s="7"/>
      <c r="I103" s="7"/>
      <c r="J103" s="7"/>
      <c r="K103" s="7"/>
      <c r="L103" s="4" t="s">
        <v>15</v>
      </c>
    </row>
    <row r="104" spans="1:12" ht="31.8" x14ac:dyDescent="0.3">
      <c r="A104" s="75">
        <v>83</v>
      </c>
      <c r="B104" s="80" t="s">
        <v>263</v>
      </c>
      <c r="C104" s="80" t="s">
        <v>264</v>
      </c>
      <c r="D104" s="80" t="s">
        <v>24</v>
      </c>
      <c r="E104" s="9" t="s">
        <v>265</v>
      </c>
      <c r="F104" s="9" t="s">
        <v>264</v>
      </c>
      <c r="G104" s="80"/>
      <c r="H104" s="80"/>
      <c r="I104" s="80"/>
      <c r="J104" s="80"/>
      <c r="K104" s="80"/>
      <c r="L104" s="75" t="s">
        <v>15</v>
      </c>
    </row>
    <row r="105" spans="1:12" x14ac:dyDescent="0.3">
      <c r="A105" s="77"/>
      <c r="B105" s="81"/>
      <c r="C105" s="81"/>
      <c r="D105" s="81"/>
      <c r="E105" s="9"/>
      <c r="F105" s="9"/>
      <c r="G105" s="81"/>
      <c r="H105" s="81"/>
      <c r="I105" s="81"/>
      <c r="J105" s="81"/>
      <c r="K105" s="81"/>
      <c r="L105" s="77"/>
    </row>
    <row r="106" spans="1:12" ht="21.6" x14ac:dyDescent="0.3">
      <c r="A106" s="76"/>
      <c r="B106" s="82"/>
      <c r="C106" s="82"/>
      <c r="D106" s="82"/>
      <c r="E106" s="7" t="s">
        <v>31</v>
      </c>
      <c r="F106" s="7" t="s">
        <v>266</v>
      </c>
      <c r="G106" s="82"/>
      <c r="H106" s="82"/>
      <c r="I106" s="82"/>
      <c r="J106" s="82"/>
      <c r="K106" s="82"/>
      <c r="L106" s="76"/>
    </row>
    <row r="107" spans="1:12" ht="42" x14ac:dyDescent="0.3">
      <c r="A107" s="3">
        <v>84</v>
      </c>
      <c r="B107" s="7" t="s">
        <v>267</v>
      </c>
      <c r="C107" s="7" t="s">
        <v>268</v>
      </c>
      <c r="D107" s="7" t="s">
        <v>24</v>
      </c>
      <c r="E107" s="4" t="s">
        <v>25</v>
      </c>
      <c r="F107" s="7" t="s">
        <v>269</v>
      </c>
      <c r="G107" s="7"/>
      <c r="H107" s="7"/>
      <c r="I107" s="7"/>
      <c r="J107" s="7"/>
      <c r="K107" s="7"/>
      <c r="L107" s="4" t="s">
        <v>15</v>
      </c>
    </row>
    <row r="108" spans="1:12" ht="42" x14ac:dyDescent="0.3">
      <c r="A108" s="3">
        <v>85</v>
      </c>
      <c r="B108" s="7" t="s">
        <v>270</v>
      </c>
      <c r="C108" s="7" t="s">
        <v>271</v>
      </c>
      <c r="D108" s="7" t="s">
        <v>24</v>
      </c>
      <c r="E108" s="7" t="s">
        <v>46</v>
      </c>
      <c r="F108" s="7" t="s">
        <v>271</v>
      </c>
      <c r="G108" s="7"/>
      <c r="H108" s="7"/>
      <c r="I108" s="7"/>
      <c r="J108" s="7"/>
      <c r="K108" s="7"/>
      <c r="L108" s="4" t="s">
        <v>15</v>
      </c>
    </row>
    <row r="109" spans="1:12" ht="31.8" x14ac:dyDescent="0.3">
      <c r="A109" s="3"/>
      <c r="B109" s="4" t="s">
        <v>272</v>
      </c>
      <c r="C109" s="4" t="s">
        <v>273</v>
      </c>
      <c r="D109" s="4" t="s">
        <v>24</v>
      </c>
      <c r="E109" s="4" t="s">
        <v>46</v>
      </c>
      <c r="F109" s="4" t="s">
        <v>273</v>
      </c>
      <c r="G109" s="4"/>
      <c r="H109" s="4"/>
      <c r="I109" s="4"/>
      <c r="J109" s="4"/>
      <c r="K109" s="4"/>
      <c r="L109" s="4" t="s">
        <v>15</v>
      </c>
    </row>
    <row r="110" spans="1:12" ht="42" x14ac:dyDescent="0.3">
      <c r="A110" s="3"/>
      <c r="B110" s="4" t="s">
        <v>274</v>
      </c>
      <c r="C110" s="4" t="s">
        <v>275</v>
      </c>
      <c r="D110" s="4" t="s">
        <v>24</v>
      </c>
      <c r="E110" s="4" t="s">
        <v>46</v>
      </c>
      <c r="F110" s="4" t="s">
        <v>275</v>
      </c>
      <c r="G110" s="4"/>
      <c r="H110" s="4"/>
      <c r="I110" s="4"/>
      <c r="J110" s="4"/>
      <c r="K110" s="4"/>
      <c r="L110" s="4" t="s">
        <v>15</v>
      </c>
    </row>
    <row r="111" spans="1:12" ht="42" x14ac:dyDescent="0.3">
      <c r="A111" s="3"/>
      <c r="B111" s="4" t="s">
        <v>276</v>
      </c>
      <c r="C111" s="4" t="s">
        <v>277</v>
      </c>
      <c r="D111" s="4" t="s">
        <v>24</v>
      </c>
      <c r="E111" s="4" t="s">
        <v>46</v>
      </c>
      <c r="F111" s="4" t="s">
        <v>277</v>
      </c>
      <c r="G111" s="4"/>
      <c r="H111" s="4"/>
      <c r="I111" s="4"/>
      <c r="J111" s="4"/>
      <c r="K111" s="4"/>
      <c r="L111" s="4" t="s">
        <v>15</v>
      </c>
    </row>
    <row r="112" spans="1:12" ht="31.8" x14ac:dyDescent="0.3">
      <c r="A112" s="3"/>
      <c r="B112" s="4" t="s">
        <v>278</v>
      </c>
      <c r="C112" s="4" t="s">
        <v>279</v>
      </c>
      <c r="D112" s="4" t="s">
        <v>24</v>
      </c>
      <c r="E112" s="4" t="s">
        <v>46</v>
      </c>
      <c r="F112" s="4" t="s">
        <v>279</v>
      </c>
      <c r="G112" s="4"/>
      <c r="H112" s="4"/>
      <c r="I112" s="4"/>
      <c r="J112" s="4"/>
      <c r="K112" s="4"/>
      <c r="L112" s="4" t="s">
        <v>15</v>
      </c>
    </row>
    <row r="113" spans="1:12" ht="52.2" x14ac:dyDescent="0.3">
      <c r="A113" s="3"/>
      <c r="B113" s="4" t="s">
        <v>280</v>
      </c>
      <c r="C113" s="4" t="s">
        <v>281</v>
      </c>
      <c r="D113" s="4" t="s">
        <v>24</v>
      </c>
      <c r="E113" s="4" t="s">
        <v>46</v>
      </c>
      <c r="F113" s="4" t="s">
        <v>281</v>
      </c>
      <c r="G113" s="4"/>
      <c r="H113" s="4"/>
      <c r="I113" s="4"/>
      <c r="J113" s="4"/>
      <c r="K113" s="4"/>
      <c r="L113" s="4"/>
    </row>
    <row r="114" spans="1:12" ht="52.2" x14ac:dyDescent="0.3">
      <c r="A114" s="3"/>
      <c r="B114" s="4" t="s">
        <v>282</v>
      </c>
      <c r="C114" s="4" t="s">
        <v>283</v>
      </c>
      <c r="D114" s="4" t="s">
        <v>24</v>
      </c>
      <c r="E114" s="4" t="s">
        <v>46</v>
      </c>
      <c r="F114" s="4" t="s">
        <v>283</v>
      </c>
      <c r="G114" s="4"/>
      <c r="H114" s="4"/>
      <c r="I114" s="4"/>
      <c r="J114" s="4"/>
      <c r="K114" s="4"/>
      <c r="L114" s="4"/>
    </row>
    <row r="115" spans="1:12" ht="52.2" x14ac:dyDescent="0.3">
      <c r="A115" s="3"/>
      <c r="B115" s="4" t="s">
        <v>284</v>
      </c>
      <c r="C115" s="4" t="s">
        <v>285</v>
      </c>
      <c r="D115" s="4" t="s">
        <v>24</v>
      </c>
      <c r="E115" s="4" t="s">
        <v>46</v>
      </c>
      <c r="F115" s="4" t="s">
        <v>285</v>
      </c>
      <c r="G115" s="4"/>
      <c r="H115" s="4"/>
      <c r="I115" s="4"/>
      <c r="J115" s="4"/>
      <c r="K115" s="4"/>
      <c r="L115" s="4"/>
    </row>
    <row r="116" spans="1:12" ht="42" x14ac:dyDescent="0.3">
      <c r="A116" s="3"/>
      <c r="B116" s="4" t="s">
        <v>286</v>
      </c>
      <c r="C116" s="4" t="s">
        <v>287</v>
      </c>
      <c r="D116" s="4" t="s">
        <v>24</v>
      </c>
      <c r="E116" s="4" t="s">
        <v>46</v>
      </c>
      <c r="F116" s="4" t="s">
        <v>287</v>
      </c>
      <c r="G116" s="4"/>
      <c r="H116" s="4"/>
      <c r="I116" s="4"/>
      <c r="J116" s="4"/>
      <c r="K116" s="4"/>
      <c r="L116" s="4"/>
    </row>
    <row r="117" spans="1:12" ht="21.6" x14ac:dyDescent="0.3">
      <c r="A117" s="3" t="s">
        <v>15</v>
      </c>
      <c r="B117" s="4" t="s">
        <v>73</v>
      </c>
      <c r="C117" s="4" t="s">
        <v>288</v>
      </c>
      <c r="D117" s="4" t="s">
        <v>16</v>
      </c>
      <c r="E117" s="4" t="s">
        <v>15</v>
      </c>
      <c r="F117" s="4" t="s">
        <v>15</v>
      </c>
      <c r="G117" s="4"/>
      <c r="H117" s="4"/>
      <c r="I117" s="4"/>
      <c r="J117" s="4"/>
      <c r="K117" s="4" t="s">
        <v>15</v>
      </c>
      <c r="L117" s="4" t="s">
        <v>15</v>
      </c>
    </row>
    <row r="118" spans="1:12" ht="31.8" x14ac:dyDescent="0.3">
      <c r="A118" s="3">
        <v>86</v>
      </c>
      <c r="B118" s="4" t="s">
        <v>289</v>
      </c>
      <c r="C118" s="4" t="s">
        <v>15</v>
      </c>
      <c r="D118" s="4" t="s">
        <v>16</v>
      </c>
      <c r="E118" s="4" t="s">
        <v>15</v>
      </c>
      <c r="F118" s="4" t="s">
        <v>15</v>
      </c>
      <c r="G118" s="4"/>
      <c r="H118" s="4"/>
      <c r="I118" s="4"/>
      <c r="J118" s="4"/>
      <c r="K118" s="4" t="s">
        <v>15</v>
      </c>
      <c r="L118" s="4" t="s">
        <v>15</v>
      </c>
    </row>
    <row r="119" spans="1:12" ht="42" x14ac:dyDescent="0.3">
      <c r="A119" s="3">
        <v>87</v>
      </c>
      <c r="B119" s="4" t="s">
        <v>290</v>
      </c>
      <c r="C119" s="4" t="s">
        <v>291</v>
      </c>
      <c r="D119" s="4" t="s">
        <v>24</v>
      </c>
      <c r="E119" s="4" t="s">
        <v>31</v>
      </c>
      <c r="F119" s="7" t="s">
        <v>292</v>
      </c>
      <c r="G119" s="7"/>
      <c r="H119" s="7"/>
      <c r="I119" s="7"/>
      <c r="J119" s="7"/>
      <c r="K119" s="6" t="s">
        <v>15</v>
      </c>
      <c r="L119" s="4" t="s">
        <v>15</v>
      </c>
    </row>
    <row r="120" spans="1:12" ht="52.2" x14ac:dyDescent="0.3">
      <c r="A120" s="3">
        <v>88</v>
      </c>
      <c r="B120" s="4" t="s">
        <v>293</v>
      </c>
      <c r="C120" s="4" t="s">
        <v>294</v>
      </c>
      <c r="D120" s="4" t="s">
        <v>24</v>
      </c>
      <c r="E120" s="4" t="s">
        <v>170</v>
      </c>
      <c r="F120" s="7" t="s">
        <v>295</v>
      </c>
      <c r="G120" s="7"/>
      <c r="H120" s="7"/>
      <c r="I120" s="7"/>
      <c r="J120" s="7"/>
      <c r="K120" s="6" t="s">
        <v>15</v>
      </c>
      <c r="L120" s="4" t="s">
        <v>15</v>
      </c>
    </row>
    <row r="121" spans="1:12" ht="62.4" x14ac:dyDescent="0.3">
      <c r="A121" s="3">
        <v>89</v>
      </c>
      <c r="B121" s="4" t="s">
        <v>296</v>
      </c>
      <c r="C121" s="4" t="s">
        <v>297</v>
      </c>
      <c r="D121" s="7" t="s">
        <v>187</v>
      </c>
      <c r="E121" s="7" t="s">
        <v>31</v>
      </c>
      <c r="F121" s="7" t="s">
        <v>298</v>
      </c>
      <c r="G121" s="7"/>
      <c r="H121" s="7"/>
      <c r="I121" s="7"/>
      <c r="J121" s="7"/>
      <c r="K121" s="4"/>
      <c r="L121" s="4" t="s">
        <v>15</v>
      </c>
    </row>
    <row r="122" spans="1:12" ht="42" x14ac:dyDescent="0.3">
      <c r="A122" s="3">
        <v>89</v>
      </c>
      <c r="B122" s="4" t="s">
        <v>296</v>
      </c>
      <c r="C122" s="4" t="s">
        <v>297</v>
      </c>
      <c r="D122" s="4" t="s">
        <v>24</v>
      </c>
      <c r="E122" s="4" t="s">
        <v>170</v>
      </c>
      <c r="F122" s="7" t="s">
        <v>299</v>
      </c>
      <c r="G122" s="7"/>
      <c r="H122" s="7"/>
      <c r="I122" s="7"/>
      <c r="J122" s="7"/>
      <c r="K122" s="6"/>
      <c r="L122" s="4" t="s">
        <v>15</v>
      </c>
    </row>
    <row r="123" spans="1:12" ht="42" x14ac:dyDescent="0.3">
      <c r="A123" s="3">
        <v>90</v>
      </c>
      <c r="B123" s="4" t="s">
        <v>300</v>
      </c>
      <c r="C123" s="4" t="s">
        <v>301</v>
      </c>
      <c r="D123" s="4" t="s">
        <v>24</v>
      </c>
      <c r="E123" s="4" t="s">
        <v>31</v>
      </c>
      <c r="F123" s="7" t="s">
        <v>302</v>
      </c>
      <c r="G123" s="7"/>
      <c r="H123" s="7"/>
      <c r="I123" s="7"/>
      <c r="J123" s="7"/>
      <c r="K123" s="6"/>
      <c r="L123" s="4" t="s">
        <v>15</v>
      </c>
    </row>
    <row r="124" spans="1:12" ht="42" x14ac:dyDescent="0.3">
      <c r="A124" s="3">
        <v>91</v>
      </c>
      <c r="B124" s="4" t="s">
        <v>303</v>
      </c>
      <c r="C124" s="4" t="s">
        <v>304</v>
      </c>
      <c r="D124" s="4" t="s">
        <v>24</v>
      </c>
      <c r="E124" s="4" t="s">
        <v>25</v>
      </c>
      <c r="F124" s="4" t="s">
        <v>305</v>
      </c>
      <c r="G124" s="4"/>
      <c r="H124" s="4"/>
      <c r="I124" s="4"/>
      <c r="J124" s="4"/>
      <c r="K124" s="6"/>
      <c r="L124" s="4" t="s">
        <v>15</v>
      </c>
    </row>
    <row r="125" spans="1:12" ht="31.8" x14ac:dyDescent="0.3">
      <c r="A125" s="3">
        <v>92</v>
      </c>
      <c r="B125" s="7" t="s">
        <v>306</v>
      </c>
      <c r="C125" s="7" t="s">
        <v>307</v>
      </c>
      <c r="D125" s="7" t="s">
        <v>24</v>
      </c>
      <c r="E125" s="4" t="s">
        <v>31</v>
      </c>
      <c r="F125" s="4" t="s">
        <v>308</v>
      </c>
      <c r="G125" s="4"/>
      <c r="H125" s="4"/>
      <c r="I125" s="4"/>
      <c r="J125" s="4"/>
      <c r="K125" s="7"/>
      <c r="L125" s="4" t="s">
        <v>15</v>
      </c>
    </row>
    <row r="126" spans="1:12" ht="62.4" x14ac:dyDescent="0.3">
      <c r="A126" s="3">
        <v>92</v>
      </c>
      <c r="B126" s="7" t="s">
        <v>306</v>
      </c>
      <c r="C126" s="7" t="s">
        <v>307</v>
      </c>
      <c r="D126" s="7" t="s">
        <v>187</v>
      </c>
      <c r="E126" s="4" t="s">
        <v>31</v>
      </c>
      <c r="F126" s="7" t="s">
        <v>309</v>
      </c>
      <c r="G126" s="7"/>
      <c r="H126" s="7"/>
      <c r="I126" s="7"/>
      <c r="J126" s="7"/>
      <c r="K126" s="7"/>
      <c r="L126" s="4" t="s">
        <v>15</v>
      </c>
    </row>
    <row r="127" spans="1:12" ht="62.4" x14ac:dyDescent="0.3">
      <c r="A127" s="3">
        <v>93</v>
      </c>
      <c r="B127" s="7" t="s">
        <v>310</v>
      </c>
      <c r="C127" s="7" t="s">
        <v>311</v>
      </c>
      <c r="D127" s="7" t="s">
        <v>187</v>
      </c>
      <c r="E127" s="4" t="s">
        <v>31</v>
      </c>
      <c r="F127" s="7" t="s">
        <v>312</v>
      </c>
      <c r="G127" s="7"/>
      <c r="H127" s="7"/>
      <c r="I127" s="7"/>
      <c r="J127" s="7"/>
      <c r="K127" s="7"/>
      <c r="L127" s="4" t="s">
        <v>15</v>
      </c>
    </row>
    <row r="128" spans="1:12" ht="21.6" x14ac:dyDescent="0.3">
      <c r="A128" s="3" t="s">
        <v>15</v>
      </c>
      <c r="B128" s="4" t="s">
        <v>73</v>
      </c>
      <c r="C128" s="4" t="s">
        <v>313</v>
      </c>
      <c r="D128" s="4" t="s">
        <v>16</v>
      </c>
      <c r="E128" s="4" t="s">
        <v>15</v>
      </c>
      <c r="F128" s="4" t="s">
        <v>15</v>
      </c>
      <c r="G128" s="4"/>
      <c r="H128" s="4"/>
      <c r="I128" s="4"/>
      <c r="J128" s="4"/>
      <c r="K128" s="6" t="s">
        <v>15</v>
      </c>
      <c r="L128" s="4" t="s">
        <v>15</v>
      </c>
    </row>
    <row r="129" spans="1:12" ht="31.8" x14ac:dyDescent="0.3">
      <c r="A129" s="5">
        <v>94</v>
      </c>
      <c r="B129" s="3" t="s">
        <v>314</v>
      </c>
      <c r="C129" s="4" t="s">
        <v>315</v>
      </c>
      <c r="D129" s="4" t="s">
        <v>316</v>
      </c>
      <c r="E129" s="4" t="s">
        <v>317</v>
      </c>
      <c r="F129" s="4" t="s">
        <v>318</v>
      </c>
      <c r="G129" s="4"/>
      <c r="H129" s="4"/>
      <c r="I129" s="4"/>
      <c r="J129" s="4"/>
      <c r="K129" s="6" t="s">
        <v>15</v>
      </c>
      <c r="L129" s="4" t="s">
        <v>15</v>
      </c>
    </row>
    <row r="130" spans="1:12" ht="31.8" x14ac:dyDescent="0.3">
      <c r="A130" s="5">
        <v>95</v>
      </c>
      <c r="B130" s="3" t="s">
        <v>319</v>
      </c>
      <c r="C130" s="4" t="s">
        <v>320</v>
      </c>
      <c r="D130" s="4" t="s">
        <v>321</v>
      </c>
      <c r="E130" s="4" t="s">
        <v>322</v>
      </c>
      <c r="F130" s="4" t="s">
        <v>323</v>
      </c>
      <c r="G130" s="4"/>
      <c r="H130" s="4"/>
      <c r="I130" s="4"/>
      <c r="J130" s="4"/>
      <c r="K130" s="6" t="s">
        <v>15</v>
      </c>
      <c r="L130" s="4" t="s">
        <v>15</v>
      </c>
    </row>
    <row r="131" spans="1:12" ht="42" x14ac:dyDescent="0.3">
      <c r="A131" s="5">
        <v>96</v>
      </c>
      <c r="B131" s="3" t="s">
        <v>324</v>
      </c>
      <c r="C131" s="4" t="s">
        <v>325</v>
      </c>
      <c r="D131" s="4" t="s">
        <v>24</v>
      </c>
      <c r="E131" s="4" t="s">
        <v>170</v>
      </c>
      <c r="F131" s="4" t="s">
        <v>326</v>
      </c>
      <c r="G131" s="4"/>
      <c r="H131" s="4"/>
      <c r="I131" s="4"/>
      <c r="J131" s="4"/>
      <c r="K131" s="4" t="s">
        <v>15</v>
      </c>
      <c r="L131" s="4" t="s">
        <v>15</v>
      </c>
    </row>
    <row r="132" spans="1:12" ht="52.2" x14ac:dyDescent="0.3">
      <c r="A132" s="5">
        <v>97</v>
      </c>
      <c r="B132" s="3" t="s">
        <v>327</v>
      </c>
      <c r="C132" s="4" t="s">
        <v>328</v>
      </c>
      <c r="D132" s="4" t="s">
        <v>329</v>
      </c>
      <c r="E132" s="7" t="s">
        <v>162</v>
      </c>
      <c r="F132" s="7" t="s">
        <v>330</v>
      </c>
      <c r="G132" s="7"/>
      <c r="H132" s="7"/>
      <c r="I132" s="7"/>
      <c r="J132" s="7"/>
      <c r="K132" s="8" t="s">
        <v>15</v>
      </c>
      <c r="L132" s="4" t="s">
        <v>15</v>
      </c>
    </row>
    <row r="133" spans="1:12" ht="31.8" x14ac:dyDescent="0.3">
      <c r="A133" s="5">
        <v>98</v>
      </c>
      <c r="B133" s="3" t="s">
        <v>331</v>
      </c>
      <c r="C133" s="4" t="s">
        <v>332</v>
      </c>
      <c r="D133" s="4" t="s">
        <v>16</v>
      </c>
      <c r="E133" s="4" t="s">
        <v>15</v>
      </c>
      <c r="F133" s="4" t="s">
        <v>15</v>
      </c>
      <c r="G133" s="4"/>
      <c r="H133" s="4"/>
      <c r="I133" s="4"/>
      <c r="J133" s="4"/>
      <c r="K133" s="8" t="s">
        <v>15</v>
      </c>
      <c r="L133" s="4" t="s">
        <v>15</v>
      </c>
    </row>
    <row r="134" spans="1:12" ht="21.6" x14ac:dyDescent="0.3">
      <c r="A134" s="11" t="s">
        <v>15</v>
      </c>
      <c r="B134" s="4" t="s">
        <v>73</v>
      </c>
      <c r="C134" s="4" t="s">
        <v>333</v>
      </c>
      <c r="D134" s="4" t="s">
        <v>16</v>
      </c>
      <c r="E134" s="4" t="s">
        <v>15</v>
      </c>
      <c r="F134" s="4" t="s">
        <v>15</v>
      </c>
      <c r="G134" s="4"/>
      <c r="H134" s="4"/>
      <c r="I134" s="4"/>
      <c r="J134" s="4"/>
      <c r="K134" s="8" t="s">
        <v>15</v>
      </c>
      <c r="L134" s="4" t="s">
        <v>15</v>
      </c>
    </row>
    <row r="135" spans="1:12" ht="42" x14ac:dyDescent="0.3">
      <c r="A135" s="3">
        <v>99</v>
      </c>
      <c r="B135" s="4" t="s">
        <v>334</v>
      </c>
      <c r="C135" s="4" t="s">
        <v>15</v>
      </c>
      <c r="D135" s="4" t="s">
        <v>16</v>
      </c>
      <c r="E135" s="4" t="s">
        <v>15</v>
      </c>
      <c r="F135" s="4" t="s">
        <v>15</v>
      </c>
      <c r="G135" s="4"/>
      <c r="H135" s="4"/>
      <c r="I135" s="4"/>
      <c r="J135" s="4"/>
      <c r="K135" s="4" t="s">
        <v>15</v>
      </c>
      <c r="L135" s="4" t="s">
        <v>15</v>
      </c>
    </row>
    <row r="136" spans="1:12" ht="52.2" x14ac:dyDescent="0.3">
      <c r="A136" s="3">
        <v>100</v>
      </c>
      <c r="B136" s="4" t="s">
        <v>335</v>
      </c>
      <c r="C136" s="4" t="s">
        <v>15</v>
      </c>
      <c r="D136" s="4" t="s">
        <v>16</v>
      </c>
      <c r="E136" s="4" t="s">
        <v>15</v>
      </c>
      <c r="F136" s="4" t="s">
        <v>15</v>
      </c>
      <c r="G136" s="4"/>
      <c r="H136" s="4"/>
      <c r="I136" s="4"/>
      <c r="J136" s="4"/>
      <c r="K136" s="4" t="s">
        <v>15</v>
      </c>
      <c r="L136" s="4" t="s">
        <v>15</v>
      </c>
    </row>
    <row r="137" spans="1:12" ht="42" x14ac:dyDescent="0.3">
      <c r="A137" s="3">
        <v>101</v>
      </c>
      <c r="B137" s="4" t="s">
        <v>336</v>
      </c>
      <c r="C137" s="4" t="s">
        <v>337</v>
      </c>
      <c r="D137" s="4" t="s">
        <v>16</v>
      </c>
      <c r="E137" s="4" t="s">
        <v>15</v>
      </c>
      <c r="F137" s="4" t="s">
        <v>15</v>
      </c>
      <c r="G137" s="4"/>
      <c r="H137" s="4"/>
      <c r="I137" s="4"/>
      <c r="J137" s="4"/>
      <c r="K137" s="4" t="s">
        <v>15</v>
      </c>
      <c r="L137" s="4" t="s">
        <v>15</v>
      </c>
    </row>
    <row r="138" spans="1:12" ht="31.8" x14ac:dyDescent="0.3">
      <c r="A138" s="3">
        <v>102</v>
      </c>
      <c r="B138" s="7" t="s">
        <v>338</v>
      </c>
      <c r="C138" s="4" t="s">
        <v>339</v>
      </c>
      <c r="D138" s="4" t="s">
        <v>316</v>
      </c>
      <c r="E138" s="7" t="s">
        <v>340</v>
      </c>
      <c r="F138" s="7" t="s">
        <v>341</v>
      </c>
      <c r="G138" s="7"/>
      <c r="H138" s="7"/>
      <c r="I138" s="7"/>
      <c r="J138" s="7"/>
      <c r="K138" s="4" t="s">
        <v>15</v>
      </c>
      <c r="L138" s="4" t="s">
        <v>15</v>
      </c>
    </row>
    <row r="139" spans="1:12" ht="52.2" x14ac:dyDescent="0.3">
      <c r="A139" s="3">
        <v>103</v>
      </c>
      <c r="B139" s="4" t="s">
        <v>342</v>
      </c>
      <c r="C139" s="4" t="s">
        <v>15</v>
      </c>
      <c r="D139" s="4" t="s">
        <v>16</v>
      </c>
      <c r="E139" s="4" t="s">
        <v>15</v>
      </c>
      <c r="F139" s="4" t="s">
        <v>15</v>
      </c>
      <c r="G139" s="4"/>
      <c r="H139" s="4"/>
      <c r="I139" s="4"/>
      <c r="J139" s="4"/>
      <c r="K139" s="4" t="s">
        <v>15</v>
      </c>
      <c r="L139" s="4" t="s">
        <v>15</v>
      </c>
    </row>
    <row r="140" spans="1:12" ht="42" x14ac:dyDescent="0.3">
      <c r="A140" s="3">
        <v>104</v>
      </c>
      <c r="B140" s="4" t="s">
        <v>343</v>
      </c>
      <c r="C140" s="4" t="s">
        <v>344</v>
      </c>
      <c r="D140" s="4" t="s">
        <v>16</v>
      </c>
      <c r="E140" s="4" t="s">
        <v>15</v>
      </c>
      <c r="F140" s="4" t="s">
        <v>15</v>
      </c>
      <c r="G140" s="4"/>
      <c r="H140" s="4"/>
      <c r="I140" s="4"/>
      <c r="J140" s="4"/>
      <c r="K140" s="4" t="s">
        <v>15</v>
      </c>
      <c r="L140" s="4" t="s">
        <v>15</v>
      </c>
    </row>
    <row r="141" spans="1:12" ht="31.8" x14ac:dyDescent="0.3">
      <c r="A141" s="3">
        <v>105</v>
      </c>
      <c r="B141" s="4" t="s">
        <v>345</v>
      </c>
      <c r="C141" s="4" t="s">
        <v>346</v>
      </c>
      <c r="D141" s="4" t="s">
        <v>321</v>
      </c>
      <c r="E141" s="4" t="s">
        <v>347</v>
      </c>
      <c r="F141" s="4" t="s">
        <v>348</v>
      </c>
      <c r="G141" s="4"/>
      <c r="H141" s="4"/>
      <c r="I141" s="4"/>
      <c r="J141" s="4"/>
      <c r="K141" s="4" t="s">
        <v>15</v>
      </c>
      <c r="L141" s="4" t="s">
        <v>15</v>
      </c>
    </row>
    <row r="142" spans="1:12" ht="31.8" x14ac:dyDescent="0.3">
      <c r="A142" s="3">
        <v>106</v>
      </c>
      <c r="B142" s="4" t="s">
        <v>349</v>
      </c>
      <c r="C142" s="4" t="s">
        <v>350</v>
      </c>
      <c r="D142" s="4" t="s">
        <v>321</v>
      </c>
      <c r="E142" s="4" t="s">
        <v>347</v>
      </c>
      <c r="F142" s="4" t="s">
        <v>351</v>
      </c>
      <c r="G142" s="4"/>
      <c r="H142" s="4"/>
      <c r="I142" s="4"/>
      <c r="J142" s="4"/>
      <c r="K142" s="4" t="s">
        <v>15</v>
      </c>
      <c r="L142" s="4" t="s">
        <v>15</v>
      </c>
    </row>
    <row r="143" spans="1:12" ht="52.2" x14ac:dyDescent="0.3">
      <c r="A143" s="3">
        <v>107</v>
      </c>
      <c r="B143" s="4" t="s">
        <v>352</v>
      </c>
      <c r="C143" s="4" t="s">
        <v>15</v>
      </c>
      <c r="D143" s="4" t="s">
        <v>16</v>
      </c>
      <c r="E143" s="4" t="s">
        <v>15</v>
      </c>
      <c r="F143" s="4" t="s">
        <v>15</v>
      </c>
      <c r="G143" s="4"/>
      <c r="H143" s="4"/>
      <c r="I143" s="4"/>
      <c r="J143" s="4"/>
      <c r="K143" s="4" t="s">
        <v>15</v>
      </c>
      <c r="L143" s="4" t="s">
        <v>15</v>
      </c>
    </row>
    <row r="144" spans="1:12" ht="42" x14ac:dyDescent="0.3">
      <c r="A144" s="3">
        <v>108</v>
      </c>
      <c r="B144" s="4" t="s">
        <v>353</v>
      </c>
      <c r="C144" s="4" t="s">
        <v>354</v>
      </c>
      <c r="D144" s="4" t="s">
        <v>16</v>
      </c>
      <c r="E144" s="4" t="s">
        <v>15</v>
      </c>
      <c r="F144" s="4" t="s">
        <v>15</v>
      </c>
      <c r="G144" s="4"/>
      <c r="H144" s="4"/>
      <c r="I144" s="4"/>
      <c r="J144" s="4"/>
      <c r="K144" s="4" t="s">
        <v>15</v>
      </c>
      <c r="L144" s="4" t="s">
        <v>15</v>
      </c>
    </row>
    <row r="145" spans="1:12" ht="103.2" x14ac:dyDescent="0.3">
      <c r="A145" s="3">
        <v>109</v>
      </c>
      <c r="B145" s="4" t="s">
        <v>355</v>
      </c>
      <c r="C145" s="4" t="s">
        <v>356</v>
      </c>
      <c r="D145" s="4" t="s">
        <v>357</v>
      </c>
      <c r="E145" s="4" t="s">
        <v>25</v>
      </c>
      <c r="F145" s="7" t="s">
        <v>358</v>
      </c>
      <c r="G145" s="7"/>
      <c r="H145" s="7"/>
      <c r="I145" s="7"/>
      <c r="J145" s="7"/>
      <c r="K145" s="4"/>
      <c r="L145" s="4" t="s">
        <v>15</v>
      </c>
    </row>
    <row r="146" spans="1:12" ht="21.6" x14ac:dyDescent="0.3">
      <c r="A146" s="3">
        <v>110</v>
      </c>
      <c r="B146" s="4" t="s">
        <v>359</v>
      </c>
      <c r="C146" s="4" t="s">
        <v>360</v>
      </c>
      <c r="D146" s="4" t="s">
        <v>24</v>
      </c>
      <c r="E146" s="4" t="s">
        <v>25</v>
      </c>
      <c r="F146" s="4" t="s">
        <v>361</v>
      </c>
      <c r="G146" s="4"/>
      <c r="H146" s="4"/>
      <c r="I146" s="4"/>
      <c r="J146" s="4"/>
      <c r="K146" s="4"/>
      <c r="L146" s="4" t="s">
        <v>15</v>
      </c>
    </row>
    <row r="147" spans="1:12" ht="103.2" x14ac:dyDescent="0.3">
      <c r="A147" s="3">
        <v>110</v>
      </c>
      <c r="B147" s="4" t="s">
        <v>359</v>
      </c>
      <c r="C147" s="4" t="s">
        <v>360</v>
      </c>
      <c r="D147" s="4" t="s">
        <v>362</v>
      </c>
      <c r="E147" s="4" t="s">
        <v>25</v>
      </c>
      <c r="F147" s="7" t="s">
        <v>363</v>
      </c>
      <c r="G147" s="7"/>
      <c r="H147" s="7"/>
      <c r="I147" s="7"/>
      <c r="J147" s="7"/>
      <c r="K147" s="4"/>
      <c r="L147" s="4" t="s">
        <v>15</v>
      </c>
    </row>
    <row r="148" spans="1:12" ht="103.2" x14ac:dyDescent="0.3">
      <c r="A148" s="3">
        <v>111</v>
      </c>
      <c r="B148" s="4" t="s">
        <v>364</v>
      </c>
      <c r="C148" s="4" t="s">
        <v>365</v>
      </c>
      <c r="D148" s="4" t="s">
        <v>366</v>
      </c>
      <c r="E148" s="4" t="s">
        <v>25</v>
      </c>
      <c r="F148" s="7" t="s">
        <v>367</v>
      </c>
      <c r="G148" s="7"/>
      <c r="H148" s="7"/>
      <c r="I148" s="7"/>
      <c r="J148" s="7"/>
      <c r="K148" s="4"/>
      <c r="L148" s="4" t="s">
        <v>15</v>
      </c>
    </row>
    <row r="149" spans="1:12" ht="103.2" x14ac:dyDescent="0.3">
      <c r="A149" s="3">
        <v>112</v>
      </c>
      <c r="B149" s="4" t="s">
        <v>368</v>
      </c>
      <c r="C149" s="4" t="s">
        <v>369</v>
      </c>
      <c r="D149" s="4" t="s">
        <v>370</v>
      </c>
      <c r="E149" s="4" t="s">
        <v>25</v>
      </c>
      <c r="F149" s="7" t="s">
        <v>371</v>
      </c>
      <c r="G149" s="7"/>
      <c r="H149" s="7"/>
      <c r="I149" s="7"/>
      <c r="J149" s="7"/>
      <c r="K149" s="4"/>
      <c r="L149" s="4" t="s">
        <v>15</v>
      </c>
    </row>
    <row r="150" spans="1:12" ht="113.4" x14ac:dyDescent="0.3">
      <c r="A150" s="3">
        <v>113</v>
      </c>
      <c r="B150" s="4" t="s">
        <v>372</v>
      </c>
      <c r="C150" s="4" t="s">
        <v>373</v>
      </c>
      <c r="D150" s="4" t="s">
        <v>374</v>
      </c>
      <c r="E150" s="4" t="s">
        <v>25</v>
      </c>
      <c r="F150" s="7" t="s">
        <v>375</v>
      </c>
      <c r="G150" s="7"/>
      <c r="H150" s="7"/>
      <c r="I150" s="7"/>
      <c r="J150" s="7"/>
      <c r="K150" s="4"/>
      <c r="L150" s="4" t="s">
        <v>15</v>
      </c>
    </row>
    <row r="151" spans="1:12" ht="82.8" x14ac:dyDescent="0.3">
      <c r="A151" s="3">
        <v>114</v>
      </c>
      <c r="B151" s="4" t="s">
        <v>376</v>
      </c>
      <c r="C151" s="4" t="s">
        <v>15</v>
      </c>
      <c r="D151" s="4" t="s">
        <v>16</v>
      </c>
      <c r="E151" s="4" t="s">
        <v>15</v>
      </c>
      <c r="F151" s="4" t="s">
        <v>15</v>
      </c>
      <c r="G151" s="4"/>
      <c r="H151" s="4"/>
      <c r="I151" s="4"/>
      <c r="J151" s="4"/>
      <c r="K151" s="4"/>
      <c r="L151" s="4" t="s">
        <v>15</v>
      </c>
    </row>
    <row r="152" spans="1:12" ht="52.2" x14ac:dyDescent="0.3">
      <c r="A152" s="3">
        <v>115</v>
      </c>
      <c r="B152" s="4" t="s">
        <v>377</v>
      </c>
      <c r="C152" s="4" t="s">
        <v>378</v>
      </c>
      <c r="D152" s="4" t="s">
        <v>16</v>
      </c>
      <c r="E152" s="4" t="s">
        <v>15</v>
      </c>
      <c r="F152" s="4" t="s">
        <v>15</v>
      </c>
      <c r="G152" s="4"/>
      <c r="H152" s="4"/>
      <c r="I152" s="4"/>
      <c r="J152" s="4"/>
      <c r="K152" s="4"/>
      <c r="L152" s="4" t="s">
        <v>15</v>
      </c>
    </row>
    <row r="153" spans="1:12" ht="113.4" x14ac:dyDescent="0.3">
      <c r="A153" s="3">
        <v>116</v>
      </c>
      <c r="B153" s="7" t="s">
        <v>379</v>
      </c>
      <c r="C153" s="4" t="s">
        <v>380</v>
      </c>
      <c r="D153" s="4" t="s">
        <v>381</v>
      </c>
      <c r="E153" s="7" t="s">
        <v>25</v>
      </c>
      <c r="F153" s="7" t="s">
        <v>382</v>
      </c>
      <c r="G153" s="7"/>
      <c r="H153" s="7"/>
      <c r="I153" s="7"/>
      <c r="J153" s="7"/>
      <c r="K153" s="4"/>
      <c r="L153" s="4" t="s">
        <v>15</v>
      </c>
    </row>
    <row r="154" spans="1:12" ht="123.6" x14ac:dyDescent="0.3">
      <c r="A154" s="3">
        <v>117</v>
      </c>
      <c r="B154" s="7" t="s">
        <v>383</v>
      </c>
      <c r="C154" s="4" t="s">
        <v>384</v>
      </c>
      <c r="D154" s="4" t="s">
        <v>385</v>
      </c>
      <c r="E154" s="7" t="s">
        <v>25</v>
      </c>
      <c r="F154" s="7" t="s">
        <v>386</v>
      </c>
      <c r="G154" s="7"/>
      <c r="H154" s="7"/>
      <c r="I154" s="7"/>
      <c r="J154" s="7"/>
      <c r="K154" s="4"/>
      <c r="L154" s="4" t="s">
        <v>15</v>
      </c>
    </row>
    <row r="155" spans="1:12" ht="72.599999999999994" x14ac:dyDescent="0.3">
      <c r="A155" s="3">
        <v>118</v>
      </c>
      <c r="B155" s="4" t="s">
        <v>387</v>
      </c>
      <c r="C155" s="4" t="s">
        <v>15</v>
      </c>
      <c r="D155" s="4" t="s">
        <v>16</v>
      </c>
      <c r="E155" s="4" t="s">
        <v>15</v>
      </c>
      <c r="F155" s="4" t="s">
        <v>15</v>
      </c>
      <c r="G155" s="4"/>
      <c r="H155" s="4"/>
      <c r="I155" s="4"/>
      <c r="J155" s="4"/>
      <c r="K155" s="4" t="s">
        <v>15</v>
      </c>
      <c r="L155" s="4" t="s">
        <v>15</v>
      </c>
    </row>
    <row r="156" spans="1:12" ht="52.2" x14ac:dyDescent="0.3">
      <c r="A156" s="3">
        <v>119</v>
      </c>
      <c r="B156" s="4" t="s">
        <v>388</v>
      </c>
      <c r="C156" s="4" t="s">
        <v>389</v>
      </c>
      <c r="D156" s="4" t="s">
        <v>16</v>
      </c>
      <c r="E156" s="4" t="s">
        <v>15</v>
      </c>
      <c r="F156" s="4" t="s">
        <v>15</v>
      </c>
      <c r="G156" s="4"/>
      <c r="H156" s="4"/>
      <c r="I156" s="4"/>
      <c r="J156" s="4"/>
      <c r="K156" s="4" t="s">
        <v>15</v>
      </c>
      <c r="L156" s="4" t="s">
        <v>15</v>
      </c>
    </row>
    <row r="157" spans="1:12" ht="133.80000000000001" x14ac:dyDescent="0.3">
      <c r="A157" s="3">
        <v>120</v>
      </c>
      <c r="B157" s="7" t="s">
        <v>390</v>
      </c>
      <c r="C157" s="4" t="s">
        <v>391</v>
      </c>
      <c r="D157" s="4" t="s">
        <v>392</v>
      </c>
      <c r="E157" s="7" t="s">
        <v>160</v>
      </c>
      <c r="F157" s="7" t="s">
        <v>161</v>
      </c>
      <c r="G157" s="7"/>
      <c r="H157" s="7"/>
      <c r="I157" s="7"/>
      <c r="J157" s="7"/>
      <c r="K157" s="4"/>
      <c r="L157" s="4" t="s">
        <v>15</v>
      </c>
    </row>
    <row r="158" spans="1:12" ht="42" x14ac:dyDescent="0.3">
      <c r="A158" s="3">
        <v>120</v>
      </c>
      <c r="B158" s="7" t="s">
        <v>390</v>
      </c>
      <c r="C158" s="4" t="s">
        <v>391</v>
      </c>
      <c r="D158" s="4" t="s">
        <v>24</v>
      </c>
      <c r="E158" s="7" t="s">
        <v>162</v>
      </c>
      <c r="F158" s="7" t="s">
        <v>161</v>
      </c>
      <c r="G158" s="7"/>
      <c r="H158" s="7"/>
      <c r="I158" s="7"/>
      <c r="J158" s="7"/>
      <c r="K158" s="4"/>
      <c r="L158" s="4" t="s">
        <v>15</v>
      </c>
    </row>
    <row r="159" spans="1:12" ht="133.80000000000001" x14ac:dyDescent="0.3">
      <c r="A159" s="3">
        <v>121</v>
      </c>
      <c r="B159" s="7" t="s">
        <v>393</v>
      </c>
      <c r="C159" s="4" t="s">
        <v>394</v>
      </c>
      <c r="D159" s="4" t="s">
        <v>392</v>
      </c>
      <c r="E159" s="7" t="s">
        <v>160</v>
      </c>
      <c r="F159" s="7" t="s">
        <v>165</v>
      </c>
      <c r="G159" s="7"/>
      <c r="H159" s="7"/>
      <c r="I159" s="7"/>
      <c r="J159" s="7"/>
      <c r="K159" s="4" t="s">
        <v>15</v>
      </c>
      <c r="L159" s="4" t="s">
        <v>15</v>
      </c>
    </row>
    <row r="160" spans="1:12" ht="103.2" x14ac:dyDescent="0.3">
      <c r="A160" s="3">
        <v>121</v>
      </c>
      <c r="B160" s="7" t="s">
        <v>393</v>
      </c>
      <c r="C160" s="4" t="s">
        <v>394</v>
      </c>
      <c r="D160" s="4" t="s">
        <v>395</v>
      </c>
      <c r="E160" s="7" t="s">
        <v>162</v>
      </c>
      <c r="F160" s="7" t="s">
        <v>396</v>
      </c>
      <c r="G160" s="7"/>
      <c r="H160" s="7"/>
      <c r="I160" s="7"/>
      <c r="J160" s="7"/>
      <c r="K160" s="4" t="s">
        <v>15</v>
      </c>
      <c r="L160" s="4" t="s">
        <v>15</v>
      </c>
    </row>
    <row r="161" spans="1:12" ht="52.2" x14ac:dyDescent="0.3">
      <c r="A161" s="3">
        <v>122</v>
      </c>
      <c r="B161" s="4" t="s">
        <v>397</v>
      </c>
      <c r="C161" s="4" t="s">
        <v>15</v>
      </c>
      <c r="D161" s="4" t="s">
        <v>15</v>
      </c>
      <c r="E161" s="4" t="s">
        <v>15</v>
      </c>
      <c r="F161" s="4" t="s">
        <v>15</v>
      </c>
      <c r="G161" s="4"/>
      <c r="H161" s="4"/>
      <c r="I161" s="4"/>
      <c r="J161" s="4"/>
      <c r="K161" s="4" t="s">
        <v>15</v>
      </c>
      <c r="L161" s="4" t="s">
        <v>15</v>
      </c>
    </row>
    <row r="162" spans="1:12" ht="42" x14ac:dyDescent="0.3">
      <c r="A162" s="3">
        <v>123</v>
      </c>
      <c r="B162" s="4" t="s">
        <v>398</v>
      </c>
      <c r="C162" s="4" t="s">
        <v>399</v>
      </c>
      <c r="D162" s="4" t="s">
        <v>16</v>
      </c>
      <c r="E162" s="4" t="s">
        <v>15</v>
      </c>
      <c r="F162" s="4" t="s">
        <v>15</v>
      </c>
      <c r="G162" s="4"/>
      <c r="H162" s="4"/>
      <c r="I162" s="4"/>
      <c r="J162" s="4"/>
      <c r="K162" s="4" t="s">
        <v>15</v>
      </c>
      <c r="L162" s="4" t="s">
        <v>15</v>
      </c>
    </row>
    <row r="163" spans="1:12" ht="31.8" x14ac:dyDescent="0.3">
      <c r="A163" s="3">
        <v>124</v>
      </c>
      <c r="B163" s="4" t="s">
        <v>400</v>
      </c>
      <c r="C163" s="4" t="s">
        <v>401</v>
      </c>
      <c r="D163" s="4" t="s">
        <v>24</v>
      </c>
      <c r="E163" s="7" t="s">
        <v>57</v>
      </c>
      <c r="F163" s="7" t="s">
        <v>402</v>
      </c>
      <c r="G163" s="7"/>
      <c r="H163" s="7"/>
      <c r="I163" s="7"/>
      <c r="J163" s="7"/>
      <c r="K163" s="4" t="s">
        <v>15</v>
      </c>
      <c r="L163" s="4" t="s">
        <v>15</v>
      </c>
    </row>
    <row r="164" spans="1:12" ht="42" x14ac:dyDescent="0.3">
      <c r="A164" s="3">
        <v>125</v>
      </c>
      <c r="B164" s="4" t="s">
        <v>403</v>
      </c>
      <c r="C164" s="4" t="s">
        <v>404</v>
      </c>
      <c r="D164" s="4" t="s">
        <v>24</v>
      </c>
      <c r="E164" s="7" t="s">
        <v>57</v>
      </c>
      <c r="F164" s="7" t="s">
        <v>405</v>
      </c>
      <c r="G164" s="7"/>
      <c r="H164" s="7"/>
      <c r="I164" s="7"/>
      <c r="J164" s="7"/>
      <c r="K164" s="4" t="s">
        <v>15</v>
      </c>
      <c r="L164" s="4" t="s">
        <v>15</v>
      </c>
    </row>
    <row r="165" spans="1:12" ht="62.4" x14ac:dyDescent="0.3">
      <c r="A165" s="3">
        <v>126</v>
      </c>
      <c r="B165" s="4" t="s">
        <v>406</v>
      </c>
      <c r="C165" s="4" t="s">
        <v>407</v>
      </c>
      <c r="D165" s="7" t="s">
        <v>187</v>
      </c>
      <c r="E165" s="7" t="s">
        <v>57</v>
      </c>
      <c r="F165" s="7" t="s">
        <v>408</v>
      </c>
      <c r="G165" s="7"/>
      <c r="H165" s="7"/>
      <c r="I165" s="7"/>
      <c r="J165" s="7"/>
      <c r="K165" s="4"/>
      <c r="L165" s="4" t="s">
        <v>15</v>
      </c>
    </row>
    <row r="166" spans="1:12" ht="31.8" x14ac:dyDescent="0.3">
      <c r="A166" s="3">
        <v>126</v>
      </c>
      <c r="B166" s="4" t="s">
        <v>406</v>
      </c>
      <c r="C166" s="4" t="s">
        <v>407</v>
      </c>
      <c r="D166" s="4" t="s">
        <v>24</v>
      </c>
      <c r="E166" s="7" t="s">
        <v>57</v>
      </c>
      <c r="F166" s="7" t="s">
        <v>409</v>
      </c>
      <c r="G166" s="7"/>
      <c r="H166" s="7"/>
      <c r="I166" s="7"/>
      <c r="J166" s="7"/>
      <c r="K166" s="4"/>
      <c r="L166" s="4" t="s">
        <v>15</v>
      </c>
    </row>
    <row r="167" spans="1:12" ht="42" x14ac:dyDescent="0.3">
      <c r="A167" s="3">
        <v>127</v>
      </c>
      <c r="B167" s="4" t="s">
        <v>410</v>
      </c>
      <c r="C167" s="4" t="s">
        <v>411</v>
      </c>
      <c r="D167" s="4" t="s">
        <v>24</v>
      </c>
      <c r="E167" s="7" t="s">
        <v>57</v>
      </c>
      <c r="F167" s="7" t="s">
        <v>412</v>
      </c>
      <c r="G167" s="7"/>
      <c r="H167" s="7"/>
      <c r="I167" s="7"/>
      <c r="J167" s="7"/>
      <c r="K167" s="4"/>
      <c r="L167" s="4" t="s">
        <v>15</v>
      </c>
    </row>
    <row r="168" spans="1:12" ht="62.4" x14ac:dyDescent="0.3">
      <c r="A168" s="3">
        <v>127</v>
      </c>
      <c r="B168" s="4" t="s">
        <v>410</v>
      </c>
      <c r="C168" s="4" t="s">
        <v>411</v>
      </c>
      <c r="D168" s="7" t="s">
        <v>187</v>
      </c>
      <c r="E168" s="7" t="s">
        <v>57</v>
      </c>
      <c r="F168" s="7" t="s">
        <v>413</v>
      </c>
      <c r="G168" s="7"/>
      <c r="H168" s="7"/>
      <c r="I168" s="7"/>
      <c r="J168" s="7"/>
      <c r="K168" s="4"/>
      <c r="L168" s="4" t="s">
        <v>15</v>
      </c>
    </row>
    <row r="169" spans="1:12" ht="31.8" x14ac:dyDescent="0.3">
      <c r="A169" s="3">
        <v>128</v>
      </c>
      <c r="B169" s="4" t="s">
        <v>414</v>
      </c>
      <c r="C169" s="4" t="s">
        <v>415</v>
      </c>
      <c r="D169" s="4" t="s">
        <v>24</v>
      </c>
      <c r="E169" s="7" t="s">
        <v>57</v>
      </c>
      <c r="F169" s="7" t="s">
        <v>416</v>
      </c>
      <c r="G169" s="7"/>
      <c r="H169" s="7"/>
      <c r="I169" s="7"/>
      <c r="J169" s="7"/>
      <c r="K169" s="8" t="s">
        <v>15</v>
      </c>
      <c r="L169" s="4" t="s">
        <v>15</v>
      </c>
    </row>
    <row r="170" spans="1:12" ht="31.8" x14ac:dyDescent="0.3">
      <c r="A170" s="3">
        <v>129</v>
      </c>
      <c r="B170" s="4" t="s">
        <v>417</v>
      </c>
      <c r="C170" s="4" t="s">
        <v>418</v>
      </c>
      <c r="D170" s="4" t="s">
        <v>24</v>
      </c>
      <c r="E170" s="7" t="s">
        <v>57</v>
      </c>
      <c r="F170" s="7" t="s">
        <v>419</v>
      </c>
      <c r="G170" s="7"/>
      <c r="H170" s="7"/>
      <c r="I170" s="7"/>
      <c r="J170" s="7"/>
      <c r="K170" s="4" t="s">
        <v>15</v>
      </c>
      <c r="L170" s="4" t="s">
        <v>15</v>
      </c>
    </row>
    <row r="171" spans="1:12" ht="31.8" x14ac:dyDescent="0.3">
      <c r="A171" s="3">
        <v>130</v>
      </c>
      <c r="B171" s="4" t="s">
        <v>420</v>
      </c>
      <c r="C171" s="4" t="s">
        <v>421</v>
      </c>
      <c r="D171" s="4" t="s">
        <v>24</v>
      </c>
      <c r="E171" s="7" t="s">
        <v>57</v>
      </c>
      <c r="F171" s="7" t="s">
        <v>422</v>
      </c>
      <c r="G171" s="7"/>
      <c r="H171" s="7"/>
      <c r="I171" s="7"/>
      <c r="J171" s="7"/>
      <c r="K171" s="4" t="s">
        <v>15</v>
      </c>
      <c r="L171" s="4" t="s">
        <v>15</v>
      </c>
    </row>
    <row r="172" spans="1:12" ht="93" x14ac:dyDescent="0.3">
      <c r="A172" s="3">
        <v>131</v>
      </c>
      <c r="B172" s="4" t="s">
        <v>423</v>
      </c>
      <c r="C172" s="4" t="s">
        <v>424</v>
      </c>
      <c r="D172" s="7" t="s">
        <v>425</v>
      </c>
      <c r="E172" s="7" t="s">
        <v>57</v>
      </c>
      <c r="F172" s="7" t="s">
        <v>426</v>
      </c>
      <c r="G172" s="7"/>
      <c r="H172" s="7"/>
      <c r="I172" s="7"/>
      <c r="J172" s="7"/>
      <c r="K172" s="8" t="s">
        <v>15</v>
      </c>
      <c r="L172" s="4" t="s">
        <v>15</v>
      </c>
    </row>
    <row r="173" spans="1:12" ht="52.2" x14ac:dyDescent="0.3">
      <c r="A173" s="3">
        <v>131</v>
      </c>
      <c r="B173" s="4" t="s">
        <v>423</v>
      </c>
      <c r="C173" s="4" t="s">
        <v>424</v>
      </c>
      <c r="D173" s="7" t="s">
        <v>427</v>
      </c>
      <c r="E173" s="7" t="s">
        <v>57</v>
      </c>
      <c r="F173" s="7" t="s">
        <v>428</v>
      </c>
      <c r="G173" s="7"/>
      <c r="H173" s="7"/>
      <c r="I173" s="7"/>
      <c r="J173" s="7"/>
      <c r="K173" s="8" t="s">
        <v>15</v>
      </c>
      <c r="L173" s="4" t="s">
        <v>15</v>
      </c>
    </row>
    <row r="174" spans="1:12" ht="52.2" x14ac:dyDescent="0.3">
      <c r="A174" s="3">
        <v>131</v>
      </c>
      <c r="B174" s="4" t="s">
        <v>423</v>
      </c>
      <c r="C174" s="4" t="s">
        <v>424</v>
      </c>
      <c r="D174" s="7" t="s">
        <v>429</v>
      </c>
      <c r="E174" s="7" t="s">
        <v>57</v>
      </c>
      <c r="F174" s="7" t="s">
        <v>430</v>
      </c>
      <c r="G174" s="7"/>
      <c r="H174" s="7"/>
      <c r="I174" s="7"/>
      <c r="J174" s="7"/>
      <c r="K174" s="8" t="s">
        <v>15</v>
      </c>
      <c r="L174" s="4" t="s">
        <v>15</v>
      </c>
    </row>
    <row r="175" spans="1:12" ht="42" x14ac:dyDescent="0.3">
      <c r="A175" s="3">
        <v>132</v>
      </c>
      <c r="B175" s="4" t="s">
        <v>431</v>
      </c>
      <c r="C175" s="4" t="s">
        <v>432</v>
      </c>
      <c r="D175" s="4" t="s">
        <v>24</v>
      </c>
      <c r="E175" s="7" t="s">
        <v>57</v>
      </c>
      <c r="F175" s="7" t="s">
        <v>433</v>
      </c>
      <c r="G175" s="7"/>
      <c r="H175" s="7"/>
      <c r="I175" s="7"/>
      <c r="J175" s="7"/>
      <c r="K175" s="8" t="s">
        <v>15</v>
      </c>
      <c r="L175" s="4" t="s">
        <v>15</v>
      </c>
    </row>
    <row r="176" spans="1:12" ht="42" x14ac:dyDescent="0.3">
      <c r="A176" s="3">
        <v>133</v>
      </c>
      <c r="B176" s="4" t="s">
        <v>434</v>
      </c>
      <c r="C176" s="4" t="s">
        <v>435</v>
      </c>
      <c r="D176" s="4" t="s">
        <v>24</v>
      </c>
      <c r="E176" s="7" t="s">
        <v>436</v>
      </c>
      <c r="F176" s="7" t="s">
        <v>437</v>
      </c>
      <c r="G176" s="7"/>
      <c r="H176" s="7"/>
      <c r="I176" s="7"/>
      <c r="J176" s="7"/>
      <c r="K176" s="8" t="s">
        <v>15</v>
      </c>
      <c r="L176" s="4" t="s">
        <v>15</v>
      </c>
    </row>
    <row r="177" spans="1:12" ht="52.2" x14ac:dyDescent="0.3">
      <c r="A177" s="3">
        <v>134</v>
      </c>
      <c r="B177" s="4" t="s">
        <v>438</v>
      </c>
      <c r="C177" s="4" t="s">
        <v>439</v>
      </c>
      <c r="D177" s="4" t="s">
        <v>24</v>
      </c>
      <c r="E177" s="4" t="s">
        <v>57</v>
      </c>
      <c r="F177" s="7" t="s">
        <v>440</v>
      </c>
      <c r="G177" s="7"/>
      <c r="H177" s="7"/>
      <c r="I177" s="7"/>
      <c r="J177" s="7"/>
      <c r="K177" s="8" t="s">
        <v>15</v>
      </c>
      <c r="L177" s="4" t="s">
        <v>15</v>
      </c>
    </row>
    <row r="178" spans="1:12" ht="62.4" x14ac:dyDescent="0.3">
      <c r="A178" s="3">
        <v>135</v>
      </c>
      <c r="B178" s="4" t="s">
        <v>441</v>
      </c>
      <c r="C178" s="4" t="s">
        <v>442</v>
      </c>
      <c r="D178" s="4" t="s">
        <v>24</v>
      </c>
      <c r="E178" s="4" t="s">
        <v>436</v>
      </c>
      <c r="F178" s="4" t="s">
        <v>443</v>
      </c>
      <c r="G178" s="4"/>
      <c r="H178" s="4"/>
      <c r="I178" s="4"/>
      <c r="J178" s="4"/>
      <c r="K178" s="8" t="s">
        <v>15</v>
      </c>
      <c r="L178" s="6" t="s">
        <v>15</v>
      </c>
    </row>
    <row r="179" spans="1:12" ht="31.8" x14ac:dyDescent="0.3">
      <c r="A179" s="3">
        <v>136</v>
      </c>
      <c r="B179" s="4" t="s">
        <v>444</v>
      </c>
      <c r="C179" s="4" t="s">
        <v>445</v>
      </c>
      <c r="D179" s="4" t="s">
        <v>24</v>
      </c>
      <c r="E179" s="7" t="s">
        <v>57</v>
      </c>
      <c r="F179" s="7" t="s">
        <v>446</v>
      </c>
      <c r="G179" s="7"/>
      <c r="H179" s="7"/>
      <c r="I179" s="7"/>
      <c r="J179" s="7"/>
      <c r="K179" s="8" t="s">
        <v>15</v>
      </c>
      <c r="L179" s="4" t="s">
        <v>15</v>
      </c>
    </row>
    <row r="180" spans="1:12" ht="103.2" x14ac:dyDescent="0.3">
      <c r="A180" s="3">
        <v>136</v>
      </c>
      <c r="B180" s="4" t="s">
        <v>444</v>
      </c>
      <c r="C180" s="4" t="s">
        <v>445</v>
      </c>
      <c r="D180" s="7" t="s">
        <v>447</v>
      </c>
      <c r="E180" s="7" t="s">
        <v>31</v>
      </c>
      <c r="F180" s="7" t="s">
        <v>448</v>
      </c>
      <c r="G180" s="7"/>
      <c r="H180" s="7"/>
      <c r="I180" s="7"/>
      <c r="J180" s="7"/>
      <c r="K180" s="4" t="s">
        <v>449</v>
      </c>
      <c r="L180" s="4" t="s">
        <v>15</v>
      </c>
    </row>
    <row r="181" spans="1:12" ht="42" x14ac:dyDescent="0.3">
      <c r="A181" s="3">
        <v>137</v>
      </c>
      <c r="B181" s="4" t="s">
        <v>450</v>
      </c>
      <c r="C181" s="4" t="s">
        <v>451</v>
      </c>
      <c r="D181" s="4" t="s">
        <v>24</v>
      </c>
      <c r="E181" s="4" t="s">
        <v>436</v>
      </c>
      <c r="F181" s="4" t="s">
        <v>452</v>
      </c>
      <c r="G181" s="4"/>
      <c r="H181" s="4"/>
      <c r="I181" s="4"/>
      <c r="J181" s="4"/>
      <c r="K181" s="4" t="s">
        <v>15</v>
      </c>
      <c r="L181" s="8" t="s">
        <v>15</v>
      </c>
    </row>
    <row r="182" spans="1:12" ht="42" x14ac:dyDescent="0.3">
      <c r="A182" s="3">
        <v>138</v>
      </c>
      <c r="B182" s="4" t="s">
        <v>453</v>
      </c>
      <c r="C182" s="4" t="s">
        <v>454</v>
      </c>
      <c r="D182" s="4" t="s">
        <v>24</v>
      </c>
      <c r="E182" s="4" t="s">
        <v>436</v>
      </c>
      <c r="F182" s="4" t="s">
        <v>455</v>
      </c>
      <c r="G182" s="4"/>
      <c r="H182" s="4"/>
      <c r="I182" s="4"/>
      <c r="J182" s="4"/>
      <c r="K182" s="8" t="s">
        <v>15</v>
      </c>
      <c r="L182" s="4" t="s">
        <v>15</v>
      </c>
    </row>
    <row r="183" spans="1:12" ht="31.8" x14ac:dyDescent="0.3">
      <c r="A183" s="3">
        <v>139</v>
      </c>
      <c r="B183" s="4" t="s">
        <v>456</v>
      </c>
      <c r="C183" s="4" t="s">
        <v>457</v>
      </c>
      <c r="D183" s="4" t="s">
        <v>24</v>
      </c>
      <c r="E183" s="4" t="s">
        <v>57</v>
      </c>
      <c r="F183" s="4" t="s">
        <v>458</v>
      </c>
      <c r="G183" s="4"/>
      <c r="H183" s="4"/>
      <c r="I183" s="4"/>
      <c r="J183" s="4"/>
      <c r="K183" s="4" t="s">
        <v>15</v>
      </c>
      <c r="L183" s="4" t="s">
        <v>15</v>
      </c>
    </row>
    <row r="184" spans="1:12" ht="42" x14ac:dyDescent="0.3">
      <c r="A184" s="3">
        <v>140</v>
      </c>
      <c r="B184" s="4" t="s">
        <v>459</v>
      </c>
      <c r="C184" s="4" t="s">
        <v>460</v>
      </c>
      <c r="D184" s="4" t="s">
        <v>24</v>
      </c>
      <c r="E184" s="4" t="s">
        <v>436</v>
      </c>
      <c r="F184" s="4" t="s">
        <v>461</v>
      </c>
      <c r="G184" s="4"/>
      <c r="H184" s="4"/>
      <c r="I184" s="4"/>
      <c r="J184" s="4"/>
      <c r="K184" s="4" t="s">
        <v>15</v>
      </c>
      <c r="L184" s="4" t="s">
        <v>15</v>
      </c>
    </row>
    <row r="185" spans="1:12" ht="31.8" x14ac:dyDescent="0.3">
      <c r="A185" s="3">
        <v>141</v>
      </c>
      <c r="B185" s="4" t="s">
        <v>462</v>
      </c>
      <c r="C185" s="4" t="s">
        <v>463</v>
      </c>
      <c r="D185" s="4" t="s">
        <v>24</v>
      </c>
      <c r="E185" s="4" t="s">
        <v>57</v>
      </c>
      <c r="F185" s="4" t="s">
        <v>464</v>
      </c>
      <c r="G185" s="4"/>
      <c r="H185" s="4"/>
      <c r="I185" s="4"/>
      <c r="J185" s="4"/>
      <c r="K185" s="4" t="s">
        <v>15</v>
      </c>
      <c r="L185" s="4" t="s">
        <v>15</v>
      </c>
    </row>
    <row r="186" spans="1:12" ht="31.8" x14ac:dyDescent="0.3">
      <c r="A186" s="3">
        <v>142</v>
      </c>
      <c r="B186" s="4" t="s">
        <v>465</v>
      </c>
      <c r="C186" s="4" t="s">
        <v>466</v>
      </c>
      <c r="D186" s="4" t="s">
        <v>24</v>
      </c>
      <c r="E186" s="4" t="s">
        <v>57</v>
      </c>
      <c r="F186" s="4" t="s">
        <v>467</v>
      </c>
      <c r="G186" s="4"/>
      <c r="H186" s="4"/>
      <c r="I186" s="4"/>
      <c r="J186" s="4"/>
      <c r="K186" s="4" t="s">
        <v>15</v>
      </c>
      <c r="L186" s="4" t="s">
        <v>15</v>
      </c>
    </row>
    <row r="187" spans="1:12" ht="52.2" x14ac:dyDescent="0.3">
      <c r="A187" s="3">
        <v>142</v>
      </c>
      <c r="B187" s="4" t="s">
        <v>465</v>
      </c>
      <c r="C187" s="4" t="s">
        <v>466</v>
      </c>
      <c r="D187" s="4" t="s">
        <v>468</v>
      </c>
      <c r="E187" s="4" t="s">
        <v>57</v>
      </c>
      <c r="F187" s="4" t="s">
        <v>469</v>
      </c>
      <c r="G187" s="4"/>
      <c r="H187" s="4"/>
      <c r="I187" s="4"/>
      <c r="J187" s="4"/>
      <c r="K187" s="4" t="s">
        <v>15</v>
      </c>
      <c r="L187" s="4" t="s">
        <v>15</v>
      </c>
    </row>
    <row r="188" spans="1:12" ht="21.6" x14ac:dyDescent="0.3">
      <c r="A188" s="3">
        <v>143</v>
      </c>
      <c r="B188" s="4" t="s">
        <v>470</v>
      </c>
      <c r="C188" s="4" t="s">
        <v>471</v>
      </c>
      <c r="D188" s="4" t="s">
        <v>24</v>
      </c>
      <c r="E188" s="4" t="s">
        <v>57</v>
      </c>
      <c r="F188" s="7" t="s">
        <v>472</v>
      </c>
      <c r="G188" s="7"/>
      <c r="H188" s="7"/>
      <c r="I188" s="7"/>
      <c r="J188" s="7"/>
      <c r="K188" s="4" t="s">
        <v>15</v>
      </c>
      <c r="L188" s="4" t="s">
        <v>15</v>
      </c>
    </row>
    <row r="189" spans="1:12" ht="42" x14ac:dyDescent="0.3">
      <c r="A189" s="3">
        <v>144</v>
      </c>
      <c r="B189" s="4" t="s">
        <v>473</v>
      </c>
      <c r="C189" s="4" t="s">
        <v>474</v>
      </c>
      <c r="D189" s="4" t="s">
        <v>24</v>
      </c>
      <c r="E189" s="4" t="s">
        <v>57</v>
      </c>
      <c r="F189" s="4" t="s">
        <v>475</v>
      </c>
      <c r="G189" s="4"/>
      <c r="H189" s="4"/>
      <c r="I189" s="4"/>
      <c r="J189" s="4"/>
      <c r="K189" s="8" t="s">
        <v>15</v>
      </c>
      <c r="L189" s="4" t="s">
        <v>15</v>
      </c>
    </row>
    <row r="190" spans="1:12" ht="42" x14ac:dyDescent="0.3">
      <c r="A190" s="3">
        <v>145</v>
      </c>
      <c r="B190" s="4" t="s">
        <v>476</v>
      </c>
      <c r="C190" s="4" t="s">
        <v>477</v>
      </c>
      <c r="D190" s="4" t="s">
        <v>24</v>
      </c>
      <c r="E190" s="4" t="s">
        <v>57</v>
      </c>
      <c r="F190" s="4" t="s">
        <v>478</v>
      </c>
      <c r="G190" s="4"/>
      <c r="H190" s="4"/>
      <c r="I190" s="4"/>
      <c r="J190" s="4"/>
      <c r="K190" s="8" t="s">
        <v>15</v>
      </c>
      <c r="L190" s="4" t="s">
        <v>15</v>
      </c>
    </row>
    <row r="191" spans="1:12" ht="42" x14ac:dyDescent="0.3">
      <c r="A191" s="3">
        <v>146</v>
      </c>
      <c r="B191" s="4" t="s">
        <v>479</v>
      </c>
      <c r="C191" s="4" t="s">
        <v>480</v>
      </c>
      <c r="D191" s="4" t="s">
        <v>24</v>
      </c>
      <c r="E191" s="4" t="s">
        <v>57</v>
      </c>
      <c r="F191" s="4" t="s">
        <v>481</v>
      </c>
      <c r="G191" s="4"/>
      <c r="H191" s="4"/>
      <c r="I191" s="4"/>
      <c r="J191" s="4"/>
      <c r="K191" s="8" t="s">
        <v>15</v>
      </c>
      <c r="L191" s="4" t="s">
        <v>15</v>
      </c>
    </row>
    <row r="192" spans="1:12" ht="42" x14ac:dyDescent="0.3">
      <c r="A192" s="3">
        <v>147</v>
      </c>
      <c r="B192" s="4" t="s">
        <v>482</v>
      </c>
      <c r="C192" s="4" t="s">
        <v>483</v>
      </c>
      <c r="D192" s="4" t="s">
        <v>24</v>
      </c>
      <c r="E192" s="4" t="s">
        <v>57</v>
      </c>
      <c r="F192" s="4" t="s">
        <v>484</v>
      </c>
      <c r="G192" s="4"/>
      <c r="H192" s="4"/>
      <c r="I192" s="4"/>
      <c r="J192" s="4"/>
      <c r="K192" s="4" t="s">
        <v>15</v>
      </c>
      <c r="L192" s="4" t="s">
        <v>15</v>
      </c>
    </row>
    <row r="193" spans="1:12" ht="31.8" x14ac:dyDescent="0.3">
      <c r="A193" s="3">
        <v>148</v>
      </c>
      <c r="B193" s="4" t="s">
        <v>485</v>
      </c>
      <c r="C193" s="4" t="s">
        <v>486</v>
      </c>
      <c r="D193" s="4" t="s">
        <v>16</v>
      </c>
      <c r="E193" s="4" t="s">
        <v>15</v>
      </c>
      <c r="F193" s="4" t="s">
        <v>15</v>
      </c>
      <c r="G193" s="4"/>
      <c r="H193" s="4"/>
      <c r="I193" s="4"/>
      <c r="J193" s="4"/>
      <c r="K193" s="4" t="s">
        <v>15</v>
      </c>
      <c r="L193" s="4" t="s">
        <v>15</v>
      </c>
    </row>
    <row r="194" spans="1:12" ht="21.6" x14ac:dyDescent="0.3">
      <c r="A194" s="3">
        <v>149</v>
      </c>
      <c r="B194" s="4" t="s">
        <v>487</v>
      </c>
      <c r="C194" s="4" t="s">
        <v>488</v>
      </c>
      <c r="D194" s="4" t="s">
        <v>24</v>
      </c>
      <c r="E194" s="4" t="s">
        <v>57</v>
      </c>
      <c r="F194" s="7" t="s">
        <v>489</v>
      </c>
      <c r="G194" s="7"/>
      <c r="H194" s="7"/>
      <c r="I194" s="7"/>
      <c r="J194" s="7"/>
      <c r="K194" s="4" t="s">
        <v>15</v>
      </c>
      <c r="L194" s="4" t="s">
        <v>15</v>
      </c>
    </row>
    <row r="195" spans="1:12" ht="31.8" x14ac:dyDescent="0.3">
      <c r="A195" s="3">
        <v>150</v>
      </c>
      <c r="B195" s="4" t="s">
        <v>490</v>
      </c>
      <c r="C195" s="4" t="s">
        <v>491</v>
      </c>
      <c r="D195" s="4" t="s">
        <v>24</v>
      </c>
      <c r="E195" s="4" t="s">
        <v>57</v>
      </c>
      <c r="F195" s="7" t="s">
        <v>492</v>
      </c>
      <c r="G195" s="7"/>
      <c r="H195" s="7"/>
      <c r="I195" s="7"/>
      <c r="J195" s="7"/>
      <c r="K195" s="4" t="s">
        <v>15</v>
      </c>
      <c r="L195" s="4" t="s">
        <v>15</v>
      </c>
    </row>
    <row r="196" spans="1:12" ht="31.8" x14ac:dyDescent="0.3">
      <c r="A196" s="3">
        <v>151</v>
      </c>
      <c r="B196" s="4" t="s">
        <v>493</v>
      </c>
      <c r="C196" s="4" t="s">
        <v>494</v>
      </c>
      <c r="D196" s="4" t="s">
        <v>24</v>
      </c>
      <c r="E196" s="4" t="s">
        <v>57</v>
      </c>
      <c r="F196" s="7" t="s">
        <v>495</v>
      </c>
      <c r="G196" s="7"/>
      <c r="H196" s="7"/>
      <c r="I196" s="7"/>
      <c r="J196" s="7"/>
      <c r="K196" s="4" t="s">
        <v>15</v>
      </c>
      <c r="L196" s="4" t="s">
        <v>15</v>
      </c>
    </row>
    <row r="197" spans="1:12" ht="42" x14ac:dyDescent="0.3">
      <c r="A197" s="3">
        <v>152</v>
      </c>
      <c r="B197" s="4" t="s">
        <v>496</v>
      </c>
      <c r="C197" s="4" t="s">
        <v>497</v>
      </c>
      <c r="D197" s="4" t="s">
        <v>24</v>
      </c>
      <c r="E197" s="4" t="s">
        <v>57</v>
      </c>
      <c r="F197" s="4" t="s">
        <v>498</v>
      </c>
      <c r="G197" s="4"/>
      <c r="H197" s="4"/>
      <c r="I197" s="4"/>
      <c r="J197" s="4"/>
      <c r="K197" s="8" t="s">
        <v>15</v>
      </c>
      <c r="L197" s="4" t="s">
        <v>15</v>
      </c>
    </row>
    <row r="198" spans="1:12" ht="42" x14ac:dyDescent="0.3">
      <c r="A198" s="3">
        <v>153</v>
      </c>
      <c r="B198" s="4" t="s">
        <v>499</v>
      </c>
      <c r="C198" s="4" t="s">
        <v>500</v>
      </c>
      <c r="D198" s="4" t="s">
        <v>24</v>
      </c>
      <c r="E198" s="4" t="s">
        <v>57</v>
      </c>
      <c r="F198" s="4" t="s">
        <v>501</v>
      </c>
      <c r="G198" s="4"/>
      <c r="H198" s="4"/>
      <c r="I198" s="4"/>
      <c r="J198" s="4"/>
      <c r="K198" s="8" t="s">
        <v>15</v>
      </c>
      <c r="L198" s="4" t="s">
        <v>15</v>
      </c>
    </row>
    <row r="199" spans="1:12" ht="52.2" x14ac:dyDescent="0.3">
      <c r="A199" s="3">
        <v>154</v>
      </c>
      <c r="B199" s="4" t="s">
        <v>502</v>
      </c>
      <c r="C199" s="4" t="s">
        <v>503</v>
      </c>
      <c r="D199" s="4" t="s">
        <v>24</v>
      </c>
      <c r="E199" s="4" t="s">
        <v>57</v>
      </c>
      <c r="F199" s="4" t="s">
        <v>504</v>
      </c>
      <c r="G199" s="4"/>
      <c r="H199" s="4"/>
      <c r="I199" s="4"/>
      <c r="J199" s="4"/>
      <c r="K199" s="8" t="s">
        <v>15</v>
      </c>
      <c r="L199" s="4" t="s">
        <v>15</v>
      </c>
    </row>
    <row r="200" spans="1:12" ht="42" x14ac:dyDescent="0.3">
      <c r="A200" s="3">
        <v>155</v>
      </c>
      <c r="B200" s="4" t="s">
        <v>505</v>
      </c>
      <c r="C200" s="4" t="s">
        <v>506</v>
      </c>
      <c r="D200" s="4" t="s">
        <v>24</v>
      </c>
      <c r="E200" s="4" t="s">
        <v>436</v>
      </c>
      <c r="F200" s="4" t="s">
        <v>507</v>
      </c>
      <c r="G200" s="4"/>
      <c r="H200" s="4"/>
      <c r="I200" s="4"/>
      <c r="J200" s="4"/>
      <c r="K200" s="4" t="s">
        <v>15</v>
      </c>
      <c r="L200" s="4" t="s">
        <v>15</v>
      </c>
    </row>
    <row r="201" spans="1:12" ht="52.2" x14ac:dyDescent="0.3">
      <c r="A201" s="3">
        <v>156</v>
      </c>
      <c r="B201" s="4" t="s">
        <v>508</v>
      </c>
      <c r="C201" s="4" t="s">
        <v>509</v>
      </c>
      <c r="D201" s="4" t="s">
        <v>24</v>
      </c>
      <c r="E201" s="7" t="s">
        <v>436</v>
      </c>
      <c r="F201" s="7" t="s">
        <v>510</v>
      </c>
      <c r="G201" s="7"/>
      <c r="H201" s="7"/>
      <c r="I201" s="7"/>
      <c r="J201" s="7"/>
      <c r="K201" s="4" t="s">
        <v>15</v>
      </c>
      <c r="L201" s="4" t="s">
        <v>15</v>
      </c>
    </row>
    <row r="202" spans="1:12" ht="42" x14ac:dyDescent="0.3">
      <c r="A202" s="3">
        <v>157</v>
      </c>
      <c r="B202" s="4" t="s">
        <v>511</v>
      </c>
      <c r="C202" s="4" t="s">
        <v>512</v>
      </c>
      <c r="D202" s="4" t="s">
        <v>24</v>
      </c>
      <c r="E202" s="4" t="s">
        <v>57</v>
      </c>
      <c r="F202" s="4" t="s">
        <v>513</v>
      </c>
      <c r="G202" s="4"/>
      <c r="H202" s="4"/>
      <c r="I202" s="4"/>
      <c r="J202" s="4"/>
      <c r="K202" s="4" t="s">
        <v>15</v>
      </c>
      <c r="L202" s="4" t="s">
        <v>15</v>
      </c>
    </row>
    <row r="203" spans="1:12" ht="72.599999999999994" x14ac:dyDescent="0.3">
      <c r="A203" s="3">
        <v>158</v>
      </c>
      <c r="B203" s="4" t="s">
        <v>514</v>
      </c>
      <c r="C203" s="4" t="s">
        <v>515</v>
      </c>
      <c r="D203" s="4" t="s">
        <v>24</v>
      </c>
      <c r="E203" s="4" t="s">
        <v>436</v>
      </c>
      <c r="F203" s="4" t="s">
        <v>516</v>
      </c>
      <c r="G203" s="4"/>
      <c r="H203" s="4"/>
      <c r="I203" s="4"/>
      <c r="J203" s="4"/>
      <c r="K203" s="4" t="s">
        <v>15</v>
      </c>
      <c r="L203" s="4" t="s">
        <v>15</v>
      </c>
    </row>
    <row r="204" spans="1:12" ht="31.8" x14ac:dyDescent="0.3">
      <c r="A204" s="3">
        <v>159</v>
      </c>
      <c r="B204" s="4" t="s">
        <v>517</v>
      </c>
      <c r="C204" s="4" t="s">
        <v>518</v>
      </c>
      <c r="D204" s="4" t="s">
        <v>24</v>
      </c>
      <c r="E204" s="4" t="s">
        <v>436</v>
      </c>
      <c r="F204" s="4" t="s">
        <v>519</v>
      </c>
      <c r="G204" s="4"/>
      <c r="H204" s="4"/>
      <c r="I204" s="4"/>
      <c r="J204" s="4"/>
      <c r="K204" s="4" t="s">
        <v>15</v>
      </c>
      <c r="L204" s="6" t="s">
        <v>15</v>
      </c>
    </row>
    <row r="205" spans="1:12" ht="52.2" x14ac:dyDescent="0.3">
      <c r="A205" s="3">
        <v>160</v>
      </c>
      <c r="B205" s="4" t="s">
        <v>520</v>
      </c>
      <c r="C205" s="4" t="s">
        <v>521</v>
      </c>
      <c r="D205" s="4" t="s">
        <v>24</v>
      </c>
      <c r="E205" s="7" t="s">
        <v>436</v>
      </c>
      <c r="F205" s="7" t="s">
        <v>522</v>
      </c>
      <c r="G205" s="7"/>
      <c r="H205" s="7"/>
      <c r="I205" s="7"/>
      <c r="J205" s="7"/>
      <c r="K205" s="4" t="s">
        <v>15</v>
      </c>
      <c r="L205" s="4" t="s">
        <v>15</v>
      </c>
    </row>
    <row r="206" spans="1:12" ht="42" x14ac:dyDescent="0.3">
      <c r="A206" s="3">
        <v>161</v>
      </c>
      <c r="B206" s="4" t="s">
        <v>523</v>
      </c>
      <c r="C206" s="4" t="s">
        <v>524</v>
      </c>
      <c r="D206" s="4" t="s">
        <v>24</v>
      </c>
      <c r="E206" s="4" t="s">
        <v>436</v>
      </c>
      <c r="F206" s="4" t="s">
        <v>525</v>
      </c>
      <c r="G206" s="4"/>
      <c r="H206" s="4"/>
      <c r="I206" s="4"/>
      <c r="J206" s="4"/>
      <c r="K206" s="4" t="s">
        <v>15</v>
      </c>
      <c r="L206" s="4" t="s">
        <v>15</v>
      </c>
    </row>
    <row r="207" spans="1:12" ht="52.2" x14ac:dyDescent="0.3">
      <c r="A207" s="3">
        <v>162</v>
      </c>
      <c r="B207" s="4" t="s">
        <v>526</v>
      </c>
      <c r="C207" s="4" t="s">
        <v>527</v>
      </c>
      <c r="D207" s="4" t="s">
        <v>24</v>
      </c>
      <c r="E207" s="4" t="s">
        <v>57</v>
      </c>
      <c r="F207" s="7" t="s">
        <v>528</v>
      </c>
      <c r="G207" s="7"/>
      <c r="H207" s="7"/>
      <c r="I207" s="7"/>
      <c r="J207" s="7"/>
      <c r="K207" s="4" t="s">
        <v>15</v>
      </c>
      <c r="L207" s="4" t="s">
        <v>15</v>
      </c>
    </row>
    <row r="208" spans="1:12" ht="42" x14ac:dyDescent="0.3">
      <c r="A208" s="3">
        <v>163</v>
      </c>
      <c r="B208" s="4" t="s">
        <v>529</v>
      </c>
      <c r="C208" s="4" t="s">
        <v>530</v>
      </c>
      <c r="D208" s="4" t="s">
        <v>24</v>
      </c>
      <c r="E208" s="4" t="s">
        <v>57</v>
      </c>
      <c r="F208" s="4" t="s">
        <v>531</v>
      </c>
      <c r="G208" s="4"/>
      <c r="H208" s="4"/>
      <c r="I208" s="4"/>
      <c r="J208" s="4"/>
      <c r="K208" s="4" t="s">
        <v>15</v>
      </c>
      <c r="L208" s="6" t="s">
        <v>15</v>
      </c>
    </row>
    <row r="209" spans="1:12" ht="31.8" x14ac:dyDescent="0.3">
      <c r="A209" s="3">
        <v>164</v>
      </c>
      <c r="B209" s="4" t="s">
        <v>532</v>
      </c>
      <c r="C209" s="4" t="s">
        <v>533</v>
      </c>
      <c r="D209" s="4" t="s">
        <v>24</v>
      </c>
      <c r="E209" s="4" t="s">
        <v>57</v>
      </c>
      <c r="F209" s="7" t="s">
        <v>534</v>
      </c>
      <c r="G209" s="7"/>
      <c r="H209" s="7"/>
      <c r="I209" s="7"/>
      <c r="J209" s="7"/>
      <c r="K209" s="4" t="s">
        <v>15</v>
      </c>
      <c r="L209" s="4" t="s">
        <v>15</v>
      </c>
    </row>
    <row r="210" spans="1:12" ht="42" x14ac:dyDescent="0.3">
      <c r="A210" s="3">
        <v>165</v>
      </c>
      <c r="B210" s="4" t="s">
        <v>535</v>
      </c>
      <c r="C210" s="4" t="s">
        <v>536</v>
      </c>
      <c r="D210" s="4" t="s">
        <v>24</v>
      </c>
      <c r="E210" s="4" t="s">
        <v>436</v>
      </c>
      <c r="F210" s="4" t="s">
        <v>537</v>
      </c>
      <c r="G210" s="4"/>
      <c r="H210" s="4"/>
      <c r="I210" s="4"/>
      <c r="J210" s="4"/>
      <c r="K210" s="8" t="s">
        <v>15</v>
      </c>
      <c r="L210" s="4" t="s">
        <v>15</v>
      </c>
    </row>
    <row r="211" spans="1:12" ht="42" x14ac:dyDescent="0.3">
      <c r="A211" s="3">
        <v>166</v>
      </c>
      <c r="B211" s="4" t="s">
        <v>538</v>
      </c>
      <c r="C211" s="4" t="s">
        <v>539</v>
      </c>
      <c r="D211" s="4" t="s">
        <v>24</v>
      </c>
      <c r="E211" s="4" t="s">
        <v>436</v>
      </c>
      <c r="F211" s="4" t="s">
        <v>540</v>
      </c>
      <c r="G211" s="4"/>
      <c r="H211" s="4"/>
      <c r="I211" s="4"/>
      <c r="J211" s="4"/>
      <c r="K211" s="4" t="s">
        <v>15</v>
      </c>
      <c r="L211" s="4" t="s">
        <v>15</v>
      </c>
    </row>
    <row r="212" spans="1:12" ht="42" x14ac:dyDescent="0.3">
      <c r="A212" s="3">
        <v>167</v>
      </c>
      <c r="B212" s="4" t="s">
        <v>541</v>
      </c>
      <c r="C212" s="4" t="s">
        <v>542</v>
      </c>
      <c r="D212" s="4" t="s">
        <v>24</v>
      </c>
      <c r="E212" s="4" t="s">
        <v>436</v>
      </c>
      <c r="F212" s="4" t="s">
        <v>543</v>
      </c>
      <c r="G212" s="4"/>
      <c r="H212" s="4"/>
      <c r="I212" s="4"/>
      <c r="J212" s="4"/>
      <c r="K212" s="8" t="s">
        <v>15</v>
      </c>
      <c r="L212" s="4" t="s">
        <v>15</v>
      </c>
    </row>
    <row r="213" spans="1:12" ht="42" x14ac:dyDescent="0.3">
      <c r="A213" s="3">
        <v>168</v>
      </c>
      <c r="B213" s="4" t="s">
        <v>544</v>
      </c>
      <c r="C213" s="4" t="s">
        <v>545</v>
      </c>
      <c r="D213" s="4" t="s">
        <v>24</v>
      </c>
      <c r="E213" s="4" t="s">
        <v>436</v>
      </c>
      <c r="F213" s="4" t="s">
        <v>546</v>
      </c>
      <c r="G213" s="4"/>
      <c r="H213" s="4"/>
      <c r="I213" s="4"/>
      <c r="J213" s="4"/>
      <c r="K213" s="4" t="s">
        <v>15</v>
      </c>
      <c r="L213" s="4" t="s">
        <v>15</v>
      </c>
    </row>
    <row r="214" spans="1:12" ht="42" x14ac:dyDescent="0.3">
      <c r="A214" s="3">
        <v>169</v>
      </c>
      <c r="B214" s="4" t="s">
        <v>547</v>
      </c>
      <c r="C214" s="4" t="s">
        <v>548</v>
      </c>
      <c r="D214" s="4" t="s">
        <v>24</v>
      </c>
      <c r="E214" s="4" t="s">
        <v>436</v>
      </c>
      <c r="F214" s="7" t="s">
        <v>549</v>
      </c>
      <c r="G214" s="7"/>
      <c r="H214" s="7"/>
      <c r="I214" s="7"/>
      <c r="J214" s="7"/>
      <c r="K214" s="4" t="s">
        <v>15</v>
      </c>
      <c r="L214" s="4" t="s">
        <v>15</v>
      </c>
    </row>
    <row r="215" spans="1:12" ht="42" x14ac:dyDescent="0.3">
      <c r="A215" s="3">
        <v>170</v>
      </c>
      <c r="B215" s="4" t="s">
        <v>550</v>
      </c>
      <c r="C215" s="4" t="s">
        <v>551</v>
      </c>
      <c r="D215" s="4" t="s">
        <v>24</v>
      </c>
      <c r="E215" s="4" t="s">
        <v>436</v>
      </c>
      <c r="F215" s="4" t="s">
        <v>552</v>
      </c>
      <c r="G215" s="4"/>
      <c r="H215" s="4"/>
      <c r="I215" s="4"/>
      <c r="J215" s="4"/>
      <c r="K215" s="4" t="s">
        <v>15</v>
      </c>
      <c r="L215" s="4" t="s">
        <v>15</v>
      </c>
    </row>
    <row r="216" spans="1:12" ht="42" x14ac:dyDescent="0.3">
      <c r="A216" s="3">
        <v>171</v>
      </c>
      <c r="B216" s="4" t="s">
        <v>553</v>
      </c>
      <c r="C216" s="4" t="s">
        <v>554</v>
      </c>
      <c r="D216" s="4" t="s">
        <v>24</v>
      </c>
      <c r="E216" s="4" t="s">
        <v>436</v>
      </c>
      <c r="F216" s="4" t="s">
        <v>555</v>
      </c>
      <c r="G216" s="4"/>
      <c r="H216" s="4"/>
      <c r="I216" s="4"/>
      <c r="J216" s="4"/>
      <c r="K216" s="4" t="s">
        <v>15</v>
      </c>
      <c r="L216" s="4" t="s">
        <v>15</v>
      </c>
    </row>
    <row r="217" spans="1:12" ht="52.2" x14ac:dyDescent="0.3">
      <c r="A217" s="3">
        <v>172</v>
      </c>
      <c r="B217" s="4" t="s">
        <v>556</v>
      </c>
      <c r="C217" s="4" t="s">
        <v>557</v>
      </c>
      <c r="D217" s="4" t="s">
        <v>24</v>
      </c>
      <c r="E217" s="4" t="s">
        <v>436</v>
      </c>
      <c r="F217" s="4" t="s">
        <v>558</v>
      </c>
      <c r="G217" s="4"/>
      <c r="H217" s="4"/>
      <c r="I217" s="4"/>
      <c r="J217" s="4"/>
      <c r="K217" s="8" t="s">
        <v>15</v>
      </c>
      <c r="L217" s="4" t="s">
        <v>15</v>
      </c>
    </row>
    <row r="218" spans="1:12" ht="31.8" x14ac:dyDescent="0.3">
      <c r="A218" s="3">
        <v>173</v>
      </c>
      <c r="B218" s="4" t="s">
        <v>559</v>
      </c>
      <c r="C218" s="4" t="s">
        <v>15</v>
      </c>
      <c r="D218" s="4" t="s">
        <v>15</v>
      </c>
      <c r="E218" s="4" t="s">
        <v>15</v>
      </c>
      <c r="F218" s="4" t="s">
        <v>15</v>
      </c>
      <c r="G218" s="4"/>
      <c r="H218" s="4"/>
      <c r="I218" s="4"/>
      <c r="J218" s="4"/>
      <c r="K218" s="4" t="s">
        <v>15</v>
      </c>
      <c r="L218" s="4" t="s">
        <v>15</v>
      </c>
    </row>
    <row r="219" spans="1:12" ht="42" x14ac:dyDescent="0.3">
      <c r="A219" s="3">
        <v>174</v>
      </c>
      <c r="B219" s="4" t="s">
        <v>560</v>
      </c>
      <c r="C219" s="4" t="s">
        <v>561</v>
      </c>
      <c r="D219" s="12" t="s">
        <v>562</v>
      </c>
      <c r="E219" s="4" t="s">
        <v>15</v>
      </c>
      <c r="F219" s="4" t="s">
        <v>15</v>
      </c>
      <c r="G219" s="4"/>
      <c r="H219" s="4"/>
      <c r="I219" s="4"/>
      <c r="J219" s="4"/>
      <c r="K219" s="4" t="s">
        <v>15</v>
      </c>
      <c r="L219" s="4" t="s">
        <v>15</v>
      </c>
    </row>
    <row r="220" spans="1:12" ht="31.8" x14ac:dyDescent="0.3">
      <c r="A220" s="3">
        <v>175</v>
      </c>
      <c r="B220" s="4" t="s">
        <v>563</v>
      </c>
      <c r="C220" s="4" t="s">
        <v>564</v>
      </c>
      <c r="D220" s="4" t="s">
        <v>24</v>
      </c>
      <c r="E220" s="4" t="s">
        <v>57</v>
      </c>
      <c r="F220" s="7" t="s">
        <v>565</v>
      </c>
      <c r="G220" s="7"/>
      <c r="H220" s="7"/>
      <c r="I220" s="7"/>
      <c r="J220" s="7"/>
      <c r="K220" s="4" t="s">
        <v>15</v>
      </c>
      <c r="L220" s="4" t="s">
        <v>15</v>
      </c>
    </row>
    <row r="221" spans="1:12" ht="42" x14ac:dyDescent="0.3">
      <c r="A221" s="3">
        <v>176</v>
      </c>
      <c r="B221" s="4" t="s">
        <v>566</v>
      </c>
      <c r="C221" s="4" t="s">
        <v>567</v>
      </c>
      <c r="D221" s="4" t="s">
        <v>24</v>
      </c>
      <c r="E221" s="4" t="s">
        <v>57</v>
      </c>
      <c r="F221" s="4" t="s">
        <v>568</v>
      </c>
      <c r="G221" s="4"/>
      <c r="H221" s="4"/>
      <c r="I221" s="4"/>
      <c r="J221" s="4"/>
      <c r="K221" s="4" t="s">
        <v>15</v>
      </c>
      <c r="L221" s="4" t="s">
        <v>15</v>
      </c>
    </row>
    <row r="222" spans="1:12" ht="42" x14ac:dyDescent="0.3">
      <c r="A222" s="3">
        <v>177</v>
      </c>
      <c r="B222" s="4" t="s">
        <v>569</v>
      </c>
      <c r="C222" s="4" t="s">
        <v>570</v>
      </c>
      <c r="D222" s="4" t="s">
        <v>24</v>
      </c>
      <c r="E222" s="4" t="s">
        <v>436</v>
      </c>
      <c r="F222" s="4" t="s">
        <v>571</v>
      </c>
      <c r="G222" s="4"/>
      <c r="H222" s="4"/>
      <c r="I222" s="4"/>
      <c r="J222" s="4"/>
      <c r="K222" s="4" t="s">
        <v>15</v>
      </c>
      <c r="L222" s="4" t="s">
        <v>15</v>
      </c>
    </row>
    <row r="223" spans="1:12" ht="62.4" x14ac:dyDescent="0.3">
      <c r="A223" s="3">
        <v>178</v>
      </c>
      <c r="B223" s="4" t="s">
        <v>572</v>
      </c>
      <c r="C223" s="4" t="s">
        <v>573</v>
      </c>
      <c r="D223" s="4" t="s">
        <v>24</v>
      </c>
      <c r="E223" s="4" t="s">
        <v>436</v>
      </c>
      <c r="F223" s="4" t="s">
        <v>574</v>
      </c>
      <c r="G223" s="4"/>
      <c r="H223" s="4"/>
      <c r="I223" s="4"/>
      <c r="J223" s="4"/>
      <c r="K223" s="8" t="s">
        <v>15</v>
      </c>
      <c r="L223" s="4" t="s">
        <v>15</v>
      </c>
    </row>
    <row r="224" spans="1:12" ht="52.2" x14ac:dyDescent="0.3">
      <c r="A224" s="3">
        <v>179</v>
      </c>
      <c r="B224" s="4" t="s">
        <v>575</v>
      </c>
      <c r="C224" s="4" t="s">
        <v>576</v>
      </c>
      <c r="D224" s="4" t="s">
        <v>24</v>
      </c>
      <c r="E224" s="4" t="s">
        <v>436</v>
      </c>
      <c r="F224" s="4" t="s">
        <v>577</v>
      </c>
      <c r="G224" s="4"/>
      <c r="H224" s="4"/>
      <c r="I224" s="4"/>
      <c r="J224" s="4"/>
      <c r="K224" s="4" t="s">
        <v>15</v>
      </c>
      <c r="L224" s="4" t="s">
        <v>15</v>
      </c>
    </row>
    <row r="225" spans="1:12" ht="42" x14ac:dyDescent="0.3">
      <c r="A225" s="3">
        <v>180</v>
      </c>
      <c r="B225" s="4" t="s">
        <v>578</v>
      </c>
      <c r="C225" s="4" t="s">
        <v>579</v>
      </c>
      <c r="D225" s="4" t="s">
        <v>24</v>
      </c>
      <c r="E225" s="4" t="s">
        <v>436</v>
      </c>
      <c r="F225" s="4" t="s">
        <v>580</v>
      </c>
      <c r="G225" s="4"/>
      <c r="H225" s="4"/>
      <c r="I225" s="4"/>
      <c r="J225" s="4"/>
      <c r="K225" s="4" t="s">
        <v>15</v>
      </c>
      <c r="L225" s="4" t="s">
        <v>15</v>
      </c>
    </row>
    <row r="226" spans="1:12" ht="62.4" x14ac:dyDescent="0.3">
      <c r="A226" s="3">
        <v>181</v>
      </c>
      <c r="B226" s="4" t="s">
        <v>581</v>
      </c>
      <c r="C226" s="4" t="s">
        <v>582</v>
      </c>
      <c r="D226" s="4" t="s">
        <v>24</v>
      </c>
      <c r="E226" s="4" t="s">
        <v>436</v>
      </c>
      <c r="F226" s="4" t="s">
        <v>583</v>
      </c>
      <c r="G226" s="4"/>
      <c r="H226" s="4"/>
      <c r="I226" s="4"/>
      <c r="J226" s="4"/>
      <c r="K226" s="4" t="s">
        <v>15</v>
      </c>
      <c r="L226" s="4" t="s">
        <v>15</v>
      </c>
    </row>
    <row r="227" spans="1:12" ht="52.2" x14ac:dyDescent="0.3">
      <c r="A227" s="3">
        <v>182</v>
      </c>
      <c r="B227" s="4" t="s">
        <v>584</v>
      </c>
      <c r="C227" s="4" t="s">
        <v>585</v>
      </c>
      <c r="D227" s="4" t="s">
        <v>24</v>
      </c>
      <c r="E227" s="4" t="s">
        <v>57</v>
      </c>
      <c r="F227" s="7" t="s">
        <v>586</v>
      </c>
      <c r="G227" s="7"/>
      <c r="H227" s="7"/>
      <c r="I227" s="7"/>
      <c r="J227" s="7"/>
      <c r="K227" s="4" t="s">
        <v>15</v>
      </c>
      <c r="L227" s="4" t="s">
        <v>15</v>
      </c>
    </row>
    <row r="228" spans="1:12" ht="62.4" x14ac:dyDescent="0.3">
      <c r="A228" s="3">
        <v>183</v>
      </c>
      <c r="B228" s="4" t="s">
        <v>587</v>
      </c>
      <c r="C228" s="4" t="s">
        <v>588</v>
      </c>
      <c r="D228" s="4" t="s">
        <v>24</v>
      </c>
      <c r="E228" s="4" t="s">
        <v>436</v>
      </c>
      <c r="F228" s="4" t="s">
        <v>589</v>
      </c>
      <c r="G228" s="4"/>
      <c r="H228" s="4"/>
      <c r="I228" s="4"/>
      <c r="J228" s="4"/>
      <c r="K228" s="4" t="s">
        <v>15</v>
      </c>
      <c r="L228" s="4" t="s">
        <v>15</v>
      </c>
    </row>
    <row r="229" spans="1:12" ht="82.8" x14ac:dyDescent="0.3">
      <c r="A229" s="3">
        <v>184</v>
      </c>
      <c r="B229" s="4" t="s">
        <v>590</v>
      </c>
      <c r="C229" s="4" t="s">
        <v>591</v>
      </c>
      <c r="D229" s="7" t="s">
        <v>592</v>
      </c>
      <c r="E229" s="7" t="s">
        <v>436</v>
      </c>
      <c r="F229" s="7" t="s">
        <v>593</v>
      </c>
      <c r="G229" s="7"/>
      <c r="H229" s="7"/>
      <c r="I229" s="7"/>
      <c r="J229" s="7"/>
      <c r="K229" s="7"/>
      <c r="L229" s="4" t="s">
        <v>15</v>
      </c>
    </row>
    <row r="230" spans="1:12" ht="82.8" x14ac:dyDescent="0.3">
      <c r="A230" s="3">
        <v>184</v>
      </c>
      <c r="B230" s="4" t="s">
        <v>590</v>
      </c>
      <c r="C230" s="4" t="s">
        <v>591</v>
      </c>
      <c r="D230" s="7" t="s">
        <v>594</v>
      </c>
      <c r="E230" s="7" t="s">
        <v>436</v>
      </c>
      <c r="F230" s="7" t="s">
        <v>595</v>
      </c>
      <c r="G230" s="7"/>
      <c r="H230" s="7"/>
      <c r="I230" s="7"/>
      <c r="J230" s="7"/>
      <c r="K230" s="7"/>
      <c r="L230" s="4" t="s">
        <v>15</v>
      </c>
    </row>
    <row r="231" spans="1:12" ht="82.8" x14ac:dyDescent="0.3">
      <c r="A231" s="3">
        <v>184</v>
      </c>
      <c r="B231" s="4" t="s">
        <v>590</v>
      </c>
      <c r="C231" s="4" t="s">
        <v>591</v>
      </c>
      <c r="D231" s="7" t="s">
        <v>596</v>
      </c>
      <c r="E231" s="7" t="s">
        <v>436</v>
      </c>
      <c r="F231" s="7" t="s">
        <v>597</v>
      </c>
      <c r="G231" s="7"/>
      <c r="H231" s="7"/>
      <c r="I231" s="7"/>
      <c r="J231" s="7"/>
      <c r="K231" s="7"/>
      <c r="L231" s="4" t="s">
        <v>15</v>
      </c>
    </row>
    <row r="232" spans="1:12" ht="82.8" x14ac:dyDescent="0.3">
      <c r="A232" s="3">
        <v>185</v>
      </c>
      <c r="B232" s="4" t="s">
        <v>598</v>
      </c>
      <c r="C232" s="4" t="s">
        <v>599</v>
      </c>
      <c r="D232" s="7" t="s">
        <v>600</v>
      </c>
      <c r="E232" s="7" t="s">
        <v>436</v>
      </c>
      <c r="F232" s="7" t="s">
        <v>601</v>
      </c>
      <c r="G232" s="7"/>
      <c r="H232" s="7"/>
      <c r="I232" s="7"/>
      <c r="J232" s="7"/>
      <c r="K232" s="4" t="s">
        <v>15</v>
      </c>
      <c r="L232" s="4" t="s">
        <v>15</v>
      </c>
    </row>
    <row r="233" spans="1:12" ht="52.2" x14ac:dyDescent="0.3">
      <c r="A233" s="3">
        <v>185</v>
      </c>
      <c r="B233" s="4" t="s">
        <v>598</v>
      </c>
      <c r="C233" s="4" t="s">
        <v>599</v>
      </c>
      <c r="D233" s="7" t="s">
        <v>602</v>
      </c>
      <c r="E233" s="7" t="s">
        <v>436</v>
      </c>
      <c r="F233" s="7" t="s">
        <v>603</v>
      </c>
      <c r="G233" s="7"/>
      <c r="H233" s="7"/>
      <c r="I233" s="7"/>
      <c r="J233" s="7"/>
      <c r="K233" s="7"/>
      <c r="L233" s="4" t="s">
        <v>15</v>
      </c>
    </row>
    <row r="234" spans="1:12" ht="52.2" x14ac:dyDescent="0.3">
      <c r="A234" s="3">
        <v>185</v>
      </c>
      <c r="B234" s="4" t="s">
        <v>598</v>
      </c>
      <c r="C234" s="4" t="s">
        <v>599</v>
      </c>
      <c r="D234" s="7" t="s">
        <v>604</v>
      </c>
      <c r="E234" s="7" t="s">
        <v>436</v>
      </c>
      <c r="F234" s="7" t="s">
        <v>605</v>
      </c>
      <c r="G234" s="7"/>
      <c r="H234" s="7"/>
      <c r="I234" s="7"/>
      <c r="J234" s="7"/>
      <c r="K234" s="7" t="s">
        <v>15</v>
      </c>
      <c r="L234" s="4" t="s">
        <v>15</v>
      </c>
    </row>
    <row r="235" spans="1:12" ht="52.2" x14ac:dyDescent="0.3">
      <c r="A235" s="3">
        <v>186</v>
      </c>
      <c r="B235" s="4" t="s">
        <v>606</v>
      </c>
      <c r="C235" s="4" t="s">
        <v>607</v>
      </c>
      <c r="D235" s="4" t="s">
        <v>24</v>
      </c>
      <c r="E235" s="4" t="s">
        <v>436</v>
      </c>
      <c r="F235" s="4" t="s">
        <v>608</v>
      </c>
      <c r="G235" s="4"/>
      <c r="H235" s="4"/>
      <c r="I235" s="4"/>
      <c r="J235" s="4"/>
      <c r="K235" s="4" t="s">
        <v>15</v>
      </c>
      <c r="L235" s="6" t="s">
        <v>15</v>
      </c>
    </row>
    <row r="236" spans="1:12" ht="21.6" x14ac:dyDescent="0.3">
      <c r="A236" s="3">
        <v>187</v>
      </c>
      <c r="B236" s="4" t="s">
        <v>609</v>
      </c>
      <c r="C236" s="4" t="s">
        <v>610</v>
      </c>
      <c r="D236" s="4" t="s">
        <v>24</v>
      </c>
      <c r="E236" s="4" t="s">
        <v>57</v>
      </c>
      <c r="F236" s="7" t="s">
        <v>611</v>
      </c>
      <c r="G236" s="7"/>
      <c r="H236" s="7"/>
      <c r="I236" s="7"/>
      <c r="J236" s="7"/>
      <c r="K236" s="8" t="s">
        <v>15</v>
      </c>
      <c r="L236" s="6" t="s">
        <v>15</v>
      </c>
    </row>
    <row r="237" spans="1:12" ht="52.2" x14ac:dyDescent="0.3">
      <c r="A237" s="3">
        <v>188</v>
      </c>
      <c r="B237" s="4" t="s">
        <v>612</v>
      </c>
      <c r="C237" s="4" t="s">
        <v>613</v>
      </c>
      <c r="D237" s="4" t="s">
        <v>24</v>
      </c>
      <c r="E237" s="4" t="s">
        <v>436</v>
      </c>
      <c r="F237" s="4" t="s">
        <v>614</v>
      </c>
      <c r="G237" s="4"/>
      <c r="H237" s="4"/>
      <c r="I237" s="4"/>
      <c r="J237" s="4"/>
      <c r="K237" s="4" t="s">
        <v>15</v>
      </c>
      <c r="L237" s="4" t="s">
        <v>15</v>
      </c>
    </row>
    <row r="238" spans="1:12" ht="42" x14ac:dyDescent="0.3">
      <c r="A238" s="3">
        <v>189</v>
      </c>
      <c r="B238" s="4" t="s">
        <v>615</v>
      </c>
      <c r="C238" s="4" t="s">
        <v>616</v>
      </c>
      <c r="D238" s="4" t="s">
        <v>24</v>
      </c>
      <c r="E238" s="4" t="s">
        <v>436</v>
      </c>
      <c r="F238" s="4" t="s">
        <v>617</v>
      </c>
      <c r="G238" s="4"/>
      <c r="H238" s="4"/>
      <c r="I238" s="4"/>
      <c r="J238" s="4"/>
      <c r="K238" s="4" t="s">
        <v>15</v>
      </c>
      <c r="L238" s="4" t="s">
        <v>15</v>
      </c>
    </row>
    <row r="239" spans="1:12" ht="42" x14ac:dyDescent="0.3">
      <c r="A239" s="3">
        <v>190</v>
      </c>
      <c r="B239" s="4" t="s">
        <v>618</v>
      </c>
      <c r="C239" s="4" t="s">
        <v>619</v>
      </c>
      <c r="D239" s="4" t="s">
        <v>24</v>
      </c>
      <c r="E239" s="4" t="s">
        <v>436</v>
      </c>
      <c r="F239" s="4" t="s">
        <v>620</v>
      </c>
      <c r="G239" s="4"/>
      <c r="H239" s="4"/>
      <c r="I239" s="4"/>
      <c r="J239" s="4"/>
      <c r="K239" s="4" t="s">
        <v>15</v>
      </c>
      <c r="L239" s="4" t="s">
        <v>15</v>
      </c>
    </row>
    <row r="240" spans="1:12" ht="21.6" x14ac:dyDescent="0.3">
      <c r="A240" s="3">
        <v>191</v>
      </c>
      <c r="B240" s="4" t="s">
        <v>621</v>
      </c>
      <c r="C240" s="4" t="s">
        <v>622</v>
      </c>
      <c r="D240" s="4" t="s">
        <v>24</v>
      </c>
      <c r="E240" s="4" t="s">
        <v>57</v>
      </c>
      <c r="F240" s="4" t="s">
        <v>623</v>
      </c>
      <c r="G240" s="4"/>
      <c r="H240" s="4"/>
      <c r="I240" s="4"/>
      <c r="J240" s="4"/>
      <c r="K240" s="4" t="s">
        <v>15</v>
      </c>
      <c r="L240" s="4" t="s">
        <v>15</v>
      </c>
    </row>
    <row r="241" spans="1:12" ht="31.8" x14ac:dyDescent="0.3">
      <c r="A241" s="75">
        <v>192</v>
      </c>
      <c r="B241" s="10" t="s">
        <v>624</v>
      </c>
      <c r="C241" s="75" t="s">
        <v>625</v>
      </c>
      <c r="D241" s="75" t="s">
        <v>24</v>
      </c>
      <c r="E241" s="75" t="s">
        <v>57</v>
      </c>
      <c r="F241" s="75" t="s">
        <v>626</v>
      </c>
      <c r="G241" s="75"/>
      <c r="H241" s="75"/>
      <c r="I241" s="75"/>
      <c r="J241" s="75"/>
      <c r="K241" s="75"/>
      <c r="L241" s="75" t="s">
        <v>627</v>
      </c>
    </row>
    <row r="242" spans="1:12" x14ac:dyDescent="0.3">
      <c r="A242" s="77"/>
      <c r="B242" s="10" t="s">
        <v>628</v>
      </c>
      <c r="C242" s="77"/>
      <c r="D242" s="77"/>
      <c r="E242" s="77"/>
      <c r="F242" s="77"/>
      <c r="G242" s="77"/>
      <c r="H242" s="77"/>
      <c r="I242" s="77"/>
      <c r="J242" s="77"/>
      <c r="K242" s="77"/>
      <c r="L242" s="77"/>
    </row>
    <row r="243" spans="1:12" ht="82.8" x14ac:dyDescent="0.3">
      <c r="A243" s="76"/>
      <c r="B243" s="4" t="s">
        <v>629</v>
      </c>
      <c r="C243" s="76"/>
      <c r="D243" s="76"/>
      <c r="E243" s="76"/>
      <c r="F243" s="76"/>
      <c r="G243" s="76"/>
      <c r="H243" s="76"/>
      <c r="I243" s="76"/>
      <c r="J243" s="76"/>
      <c r="K243" s="76"/>
      <c r="L243" s="76"/>
    </row>
    <row r="244" spans="1:12" ht="72.599999999999994" x14ac:dyDescent="0.3">
      <c r="A244" s="3">
        <v>193</v>
      </c>
      <c r="B244" s="4" t="s">
        <v>630</v>
      </c>
      <c r="C244" s="4" t="s">
        <v>631</v>
      </c>
      <c r="D244" s="4" t="s">
        <v>24</v>
      </c>
      <c r="E244" s="4" t="s">
        <v>436</v>
      </c>
      <c r="F244" s="4" t="s">
        <v>632</v>
      </c>
      <c r="G244" s="4"/>
      <c r="H244" s="4"/>
      <c r="I244" s="4"/>
      <c r="J244" s="4"/>
      <c r="K244" s="4"/>
      <c r="L244" s="4" t="s">
        <v>15</v>
      </c>
    </row>
    <row r="245" spans="1:12" ht="31.8" x14ac:dyDescent="0.3">
      <c r="A245" s="3">
        <v>194</v>
      </c>
      <c r="B245" s="4" t="s">
        <v>633</v>
      </c>
      <c r="C245" s="4" t="s">
        <v>634</v>
      </c>
      <c r="D245" s="4" t="s">
        <v>24</v>
      </c>
      <c r="E245" s="4" t="s">
        <v>436</v>
      </c>
      <c r="F245" s="4" t="s">
        <v>635</v>
      </c>
      <c r="G245" s="4"/>
      <c r="H245" s="4"/>
      <c r="I245" s="4"/>
      <c r="J245" s="4"/>
      <c r="K245" s="4"/>
      <c r="L245" s="4" t="s">
        <v>15</v>
      </c>
    </row>
    <row r="246" spans="1:12" ht="42" x14ac:dyDescent="0.3">
      <c r="A246" s="3">
        <v>195</v>
      </c>
      <c r="B246" s="4" t="s">
        <v>636</v>
      </c>
      <c r="C246" s="4" t="s">
        <v>637</v>
      </c>
      <c r="D246" s="4" t="s">
        <v>24</v>
      </c>
      <c r="E246" s="4" t="s">
        <v>436</v>
      </c>
      <c r="F246" s="4" t="s">
        <v>638</v>
      </c>
      <c r="G246" s="4"/>
      <c r="H246" s="4"/>
      <c r="I246" s="4"/>
      <c r="J246" s="4"/>
      <c r="K246" s="4"/>
      <c r="L246" s="4" t="s">
        <v>15</v>
      </c>
    </row>
    <row r="247" spans="1:12" ht="42" x14ac:dyDescent="0.3">
      <c r="A247" s="3">
        <v>196</v>
      </c>
      <c r="B247" s="4" t="s">
        <v>639</v>
      </c>
      <c r="C247" s="4" t="s">
        <v>640</v>
      </c>
      <c r="D247" s="4" t="s">
        <v>24</v>
      </c>
      <c r="E247" s="4" t="s">
        <v>436</v>
      </c>
      <c r="F247" s="4" t="s">
        <v>641</v>
      </c>
      <c r="G247" s="4"/>
      <c r="H247" s="4"/>
      <c r="I247" s="4"/>
      <c r="J247" s="4"/>
      <c r="K247" s="4"/>
      <c r="L247" s="4" t="s">
        <v>15</v>
      </c>
    </row>
    <row r="248" spans="1:12" ht="42" x14ac:dyDescent="0.3">
      <c r="A248" s="3">
        <v>197</v>
      </c>
      <c r="B248" s="4" t="s">
        <v>642</v>
      </c>
      <c r="C248" s="4" t="s">
        <v>643</v>
      </c>
      <c r="D248" s="4" t="s">
        <v>24</v>
      </c>
      <c r="E248" s="4" t="s">
        <v>436</v>
      </c>
      <c r="F248" s="4" t="s">
        <v>644</v>
      </c>
      <c r="G248" s="4"/>
      <c r="H248" s="4"/>
      <c r="I248" s="4"/>
      <c r="J248" s="4"/>
      <c r="K248" s="4"/>
      <c r="L248" s="4" t="s">
        <v>15</v>
      </c>
    </row>
    <row r="249" spans="1:12" ht="31.8" x14ac:dyDescent="0.3">
      <c r="A249" s="3">
        <v>198</v>
      </c>
      <c r="B249" s="4" t="s">
        <v>645</v>
      </c>
      <c r="C249" s="4" t="s">
        <v>646</v>
      </c>
      <c r="D249" s="4" t="s">
        <v>24</v>
      </c>
      <c r="E249" s="4" t="s">
        <v>436</v>
      </c>
      <c r="F249" s="4" t="s">
        <v>647</v>
      </c>
      <c r="G249" s="4"/>
      <c r="H249" s="4"/>
      <c r="I249" s="4"/>
      <c r="J249" s="4"/>
      <c r="K249" s="4"/>
      <c r="L249" s="4" t="s">
        <v>15</v>
      </c>
    </row>
    <row r="250" spans="1:12" ht="42" x14ac:dyDescent="0.3">
      <c r="A250" s="3">
        <v>199</v>
      </c>
      <c r="B250" s="4" t="s">
        <v>648</v>
      </c>
      <c r="C250" s="4" t="s">
        <v>649</v>
      </c>
      <c r="D250" s="4" t="s">
        <v>24</v>
      </c>
      <c r="E250" s="4" t="s">
        <v>436</v>
      </c>
      <c r="F250" s="4" t="s">
        <v>650</v>
      </c>
      <c r="G250" s="4"/>
      <c r="H250" s="4"/>
      <c r="I250" s="4"/>
      <c r="J250" s="4"/>
      <c r="K250" s="4"/>
      <c r="L250" s="4" t="s">
        <v>15</v>
      </c>
    </row>
    <row r="251" spans="1:12" ht="42" x14ac:dyDescent="0.3">
      <c r="A251" s="3">
        <v>200</v>
      </c>
      <c r="B251" s="4" t="s">
        <v>651</v>
      </c>
      <c r="C251" s="4" t="s">
        <v>652</v>
      </c>
      <c r="D251" s="7" t="s">
        <v>653</v>
      </c>
      <c r="E251" s="4" t="s">
        <v>436</v>
      </c>
      <c r="F251" s="4" t="s">
        <v>654</v>
      </c>
      <c r="G251" s="4"/>
      <c r="H251" s="4"/>
      <c r="I251" s="4"/>
      <c r="J251" s="4"/>
      <c r="K251" s="4"/>
      <c r="L251" s="4" t="s">
        <v>15</v>
      </c>
    </row>
    <row r="252" spans="1:12" ht="42" x14ac:dyDescent="0.3">
      <c r="A252" s="3">
        <v>200</v>
      </c>
      <c r="B252" s="4" t="s">
        <v>651</v>
      </c>
      <c r="C252" s="4" t="s">
        <v>652</v>
      </c>
      <c r="D252" s="7" t="s">
        <v>655</v>
      </c>
      <c r="E252" s="4" t="s">
        <v>436</v>
      </c>
      <c r="F252" s="4" t="s">
        <v>656</v>
      </c>
      <c r="G252" s="4"/>
      <c r="H252" s="4"/>
      <c r="I252" s="4"/>
      <c r="J252" s="4"/>
      <c r="K252" s="4"/>
      <c r="L252" s="4" t="s">
        <v>15</v>
      </c>
    </row>
    <row r="253" spans="1:12" ht="103.2" x14ac:dyDescent="0.3">
      <c r="A253" s="3">
        <v>201</v>
      </c>
      <c r="B253" s="4" t="s">
        <v>657</v>
      </c>
      <c r="C253" s="4" t="s">
        <v>658</v>
      </c>
      <c r="D253" s="4" t="s">
        <v>659</v>
      </c>
      <c r="E253" s="4" t="s">
        <v>660</v>
      </c>
      <c r="F253" s="4" t="s">
        <v>661</v>
      </c>
      <c r="G253" s="4"/>
      <c r="H253" s="4"/>
      <c r="I253" s="4"/>
      <c r="J253" s="4"/>
      <c r="K253" s="4"/>
      <c r="L253" s="4" t="s">
        <v>15</v>
      </c>
    </row>
    <row r="254" spans="1:12" ht="103.2" x14ac:dyDescent="0.3">
      <c r="A254" s="3">
        <v>202</v>
      </c>
      <c r="B254" s="4" t="s">
        <v>662</v>
      </c>
      <c r="C254" s="4" t="s">
        <v>663</v>
      </c>
      <c r="D254" s="4" t="s">
        <v>664</v>
      </c>
      <c r="E254" s="4" t="s">
        <v>660</v>
      </c>
      <c r="F254" s="4" t="s">
        <v>661</v>
      </c>
      <c r="G254" s="4"/>
      <c r="H254" s="4"/>
      <c r="I254" s="4"/>
      <c r="J254" s="4"/>
      <c r="K254" s="4"/>
      <c r="L254" s="4" t="s">
        <v>15</v>
      </c>
    </row>
    <row r="255" spans="1:12" ht="103.2" x14ac:dyDescent="0.3">
      <c r="A255" s="3">
        <v>203</v>
      </c>
      <c r="B255" s="4" t="s">
        <v>665</v>
      </c>
      <c r="C255" s="4" t="s">
        <v>666</v>
      </c>
      <c r="D255" s="4" t="s">
        <v>667</v>
      </c>
      <c r="E255" s="4" t="s">
        <v>660</v>
      </c>
      <c r="F255" s="4" t="s">
        <v>661</v>
      </c>
      <c r="G255" s="4"/>
      <c r="H255" s="4"/>
      <c r="I255" s="4"/>
      <c r="J255" s="4"/>
      <c r="K255" s="4"/>
      <c r="L255" s="4" t="s">
        <v>15</v>
      </c>
    </row>
    <row r="256" spans="1:12" ht="103.2" x14ac:dyDescent="0.3">
      <c r="A256" s="3">
        <v>204</v>
      </c>
      <c r="B256" s="4" t="s">
        <v>668</v>
      </c>
      <c r="C256" s="4" t="s">
        <v>669</v>
      </c>
      <c r="D256" s="4" t="s">
        <v>670</v>
      </c>
      <c r="E256" s="4" t="s">
        <v>660</v>
      </c>
      <c r="F256" s="4" t="s">
        <v>661</v>
      </c>
      <c r="G256" s="4"/>
      <c r="H256" s="4"/>
      <c r="I256" s="4"/>
      <c r="J256" s="4"/>
      <c r="K256" s="4"/>
      <c r="L256" s="4" t="s">
        <v>15</v>
      </c>
    </row>
    <row r="257" spans="1:12" ht="103.2" x14ac:dyDescent="0.3">
      <c r="A257" s="3">
        <v>205</v>
      </c>
      <c r="B257" s="4" t="s">
        <v>671</v>
      </c>
      <c r="C257" s="4" t="s">
        <v>672</v>
      </c>
      <c r="D257" s="4" t="s">
        <v>673</v>
      </c>
      <c r="E257" s="4" t="s">
        <v>660</v>
      </c>
      <c r="F257" s="4" t="s">
        <v>661</v>
      </c>
      <c r="G257" s="4"/>
      <c r="H257" s="4"/>
      <c r="I257" s="4"/>
      <c r="J257" s="4"/>
      <c r="K257" s="4"/>
      <c r="L257" s="4" t="s">
        <v>15</v>
      </c>
    </row>
    <row r="258" spans="1:12" ht="103.2" x14ac:dyDescent="0.3">
      <c r="A258" s="3">
        <v>206</v>
      </c>
      <c r="B258" s="4" t="s">
        <v>674</v>
      </c>
      <c r="C258" s="4" t="s">
        <v>675</v>
      </c>
      <c r="D258" s="4" t="s">
        <v>676</v>
      </c>
      <c r="E258" s="4" t="s">
        <v>660</v>
      </c>
      <c r="F258" s="4" t="s">
        <v>661</v>
      </c>
      <c r="G258" s="4"/>
      <c r="H258" s="4"/>
      <c r="I258" s="4"/>
      <c r="J258" s="4"/>
      <c r="K258" s="4"/>
      <c r="L258" s="4" t="s">
        <v>15</v>
      </c>
    </row>
    <row r="259" spans="1:12" ht="103.2" x14ac:dyDescent="0.3">
      <c r="A259" s="3">
        <v>207</v>
      </c>
      <c r="B259" s="4" t="s">
        <v>677</v>
      </c>
      <c r="C259" s="4" t="s">
        <v>678</v>
      </c>
      <c r="D259" s="4" t="s">
        <v>679</v>
      </c>
      <c r="E259" s="4" t="s">
        <v>660</v>
      </c>
      <c r="F259" s="4" t="s">
        <v>661</v>
      </c>
      <c r="G259" s="4"/>
      <c r="H259" s="4"/>
      <c r="I259" s="4"/>
      <c r="J259" s="4"/>
      <c r="K259" s="4"/>
      <c r="L259" s="4" t="s">
        <v>15</v>
      </c>
    </row>
    <row r="260" spans="1:12" ht="103.2" x14ac:dyDescent="0.3">
      <c r="A260" s="3">
        <v>208</v>
      </c>
      <c r="B260" s="4" t="s">
        <v>680</v>
      </c>
      <c r="C260" s="4" t="s">
        <v>681</v>
      </c>
      <c r="D260" s="4" t="s">
        <v>659</v>
      </c>
      <c r="E260" s="4" t="s">
        <v>660</v>
      </c>
      <c r="F260" s="4" t="s">
        <v>682</v>
      </c>
      <c r="G260" s="4"/>
      <c r="H260" s="4"/>
      <c r="I260" s="4"/>
      <c r="J260" s="4"/>
      <c r="K260" s="4"/>
      <c r="L260" s="4" t="s">
        <v>15</v>
      </c>
    </row>
    <row r="261" spans="1:12" ht="103.2" x14ac:dyDescent="0.3">
      <c r="A261" s="3">
        <v>209</v>
      </c>
      <c r="B261" s="4" t="s">
        <v>683</v>
      </c>
      <c r="C261" s="4" t="s">
        <v>684</v>
      </c>
      <c r="D261" s="4" t="s">
        <v>664</v>
      </c>
      <c r="E261" s="4" t="s">
        <v>660</v>
      </c>
      <c r="F261" s="4" t="s">
        <v>682</v>
      </c>
      <c r="G261" s="4"/>
      <c r="H261" s="4"/>
      <c r="I261" s="4"/>
      <c r="J261" s="4"/>
      <c r="K261" s="4"/>
      <c r="L261" s="4" t="s">
        <v>15</v>
      </c>
    </row>
    <row r="262" spans="1:12" ht="103.2" x14ac:dyDescent="0.3">
      <c r="A262" s="3">
        <v>210</v>
      </c>
      <c r="B262" s="4" t="s">
        <v>685</v>
      </c>
      <c r="C262" s="4" t="s">
        <v>686</v>
      </c>
      <c r="D262" s="4" t="s">
        <v>667</v>
      </c>
      <c r="E262" s="4" t="s">
        <v>660</v>
      </c>
      <c r="F262" s="4" t="s">
        <v>682</v>
      </c>
      <c r="G262" s="4"/>
      <c r="H262" s="4"/>
      <c r="I262" s="4"/>
      <c r="J262" s="4"/>
      <c r="K262" s="4"/>
      <c r="L262" s="4" t="s">
        <v>15</v>
      </c>
    </row>
    <row r="263" spans="1:12" ht="103.2" x14ac:dyDescent="0.3">
      <c r="A263" s="3">
        <v>211</v>
      </c>
      <c r="B263" s="4" t="s">
        <v>687</v>
      </c>
      <c r="C263" s="4" t="s">
        <v>688</v>
      </c>
      <c r="D263" s="4" t="s">
        <v>670</v>
      </c>
      <c r="E263" s="4" t="s">
        <v>660</v>
      </c>
      <c r="F263" s="4" t="s">
        <v>682</v>
      </c>
      <c r="G263" s="4"/>
      <c r="H263" s="4"/>
      <c r="I263" s="4"/>
      <c r="J263" s="4"/>
      <c r="K263" s="4"/>
      <c r="L263" s="4" t="s">
        <v>15</v>
      </c>
    </row>
    <row r="264" spans="1:12" ht="103.2" x14ac:dyDescent="0.3">
      <c r="A264" s="3">
        <v>212</v>
      </c>
      <c r="B264" s="4" t="s">
        <v>689</v>
      </c>
      <c r="C264" s="4" t="s">
        <v>690</v>
      </c>
      <c r="D264" s="4" t="s">
        <v>673</v>
      </c>
      <c r="E264" s="4" t="s">
        <v>660</v>
      </c>
      <c r="F264" s="4" t="s">
        <v>682</v>
      </c>
      <c r="G264" s="4"/>
      <c r="H264" s="4"/>
      <c r="I264" s="4"/>
      <c r="J264" s="4"/>
      <c r="K264" s="4"/>
      <c r="L264" s="4" t="s">
        <v>15</v>
      </c>
    </row>
    <row r="265" spans="1:12" ht="103.2" x14ac:dyDescent="0.3">
      <c r="A265" s="3">
        <v>213</v>
      </c>
      <c r="B265" s="4" t="s">
        <v>691</v>
      </c>
      <c r="C265" s="4" t="s">
        <v>692</v>
      </c>
      <c r="D265" s="4" t="s">
        <v>676</v>
      </c>
      <c r="E265" s="4" t="s">
        <v>660</v>
      </c>
      <c r="F265" s="4" t="s">
        <v>682</v>
      </c>
      <c r="G265" s="4"/>
      <c r="H265" s="4"/>
      <c r="I265" s="4"/>
      <c r="J265" s="4"/>
      <c r="K265" s="4"/>
      <c r="L265" s="4" t="s">
        <v>15</v>
      </c>
    </row>
    <row r="266" spans="1:12" ht="103.2" x14ac:dyDescent="0.3">
      <c r="A266" s="3">
        <v>214</v>
      </c>
      <c r="B266" s="4" t="s">
        <v>693</v>
      </c>
      <c r="C266" s="4" t="s">
        <v>694</v>
      </c>
      <c r="D266" s="4" t="s">
        <v>679</v>
      </c>
      <c r="E266" s="4" t="s">
        <v>660</v>
      </c>
      <c r="F266" s="4" t="s">
        <v>682</v>
      </c>
      <c r="G266" s="4"/>
      <c r="H266" s="4"/>
      <c r="I266" s="4"/>
      <c r="J266" s="4"/>
      <c r="K266" s="4"/>
      <c r="L266" s="4" t="s">
        <v>15</v>
      </c>
    </row>
    <row r="267" spans="1:12" ht="52.2" x14ac:dyDescent="0.3">
      <c r="A267" s="3">
        <v>215</v>
      </c>
      <c r="B267" s="4" t="s">
        <v>695</v>
      </c>
      <c r="C267" s="4" t="s">
        <v>696</v>
      </c>
      <c r="D267" s="4" t="s">
        <v>24</v>
      </c>
      <c r="E267" s="4" t="s">
        <v>697</v>
      </c>
      <c r="F267" s="4" t="s">
        <v>698</v>
      </c>
      <c r="G267" s="4"/>
      <c r="H267" s="4"/>
      <c r="I267" s="4"/>
      <c r="J267" s="4"/>
      <c r="K267" s="4"/>
      <c r="L267" s="4" t="s">
        <v>245</v>
      </c>
    </row>
    <row r="268" spans="1:12" ht="52.2" x14ac:dyDescent="0.3">
      <c r="A268" s="3">
        <v>216</v>
      </c>
      <c r="B268" s="4" t="s">
        <v>699</v>
      </c>
      <c r="C268" s="4" t="s">
        <v>700</v>
      </c>
      <c r="D268" s="4" t="s">
        <v>24</v>
      </c>
      <c r="E268" s="4" t="s">
        <v>697</v>
      </c>
      <c r="F268" s="4" t="s">
        <v>701</v>
      </c>
      <c r="G268" s="4"/>
      <c r="H268" s="4"/>
      <c r="I268" s="4"/>
      <c r="J268" s="4"/>
      <c r="K268" s="4"/>
      <c r="L268" s="4" t="s">
        <v>245</v>
      </c>
    </row>
    <row r="269" spans="1:12" ht="52.2" x14ac:dyDescent="0.3">
      <c r="A269" s="3">
        <v>217</v>
      </c>
      <c r="B269" s="4" t="s">
        <v>702</v>
      </c>
      <c r="C269" s="4" t="s">
        <v>703</v>
      </c>
      <c r="D269" s="4" t="s">
        <v>24</v>
      </c>
      <c r="E269" s="4" t="s">
        <v>697</v>
      </c>
      <c r="F269" s="4" t="s">
        <v>704</v>
      </c>
      <c r="G269" s="4"/>
      <c r="H269" s="4"/>
      <c r="I269" s="4"/>
      <c r="J269" s="4"/>
      <c r="K269" s="4"/>
      <c r="L269" s="4" t="s">
        <v>245</v>
      </c>
    </row>
    <row r="270" spans="1:12" ht="52.2" x14ac:dyDescent="0.3">
      <c r="A270" s="3">
        <v>218</v>
      </c>
      <c r="B270" s="4" t="s">
        <v>705</v>
      </c>
      <c r="C270" s="4" t="s">
        <v>706</v>
      </c>
      <c r="D270" s="4" t="s">
        <v>24</v>
      </c>
      <c r="E270" s="4" t="s">
        <v>697</v>
      </c>
      <c r="F270" s="4" t="s">
        <v>707</v>
      </c>
      <c r="G270" s="4"/>
      <c r="H270" s="4"/>
      <c r="I270" s="4"/>
      <c r="J270" s="4"/>
      <c r="K270" s="4"/>
      <c r="L270" s="4" t="s">
        <v>245</v>
      </c>
    </row>
    <row r="271" spans="1:12" ht="52.2" x14ac:dyDescent="0.3">
      <c r="A271" s="3">
        <v>219</v>
      </c>
      <c r="B271" s="4" t="s">
        <v>708</v>
      </c>
      <c r="C271" s="4" t="s">
        <v>709</v>
      </c>
      <c r="D271" s="4" t="s">
        <v>24</v>
      </c>
      <c r="E271" s="4" t="s">
        <v>697</v>
      </c>
      <c r="F271" s="4" t="s">
        <v>710</v>
      </c>
      <c r="G271" s="4"/>
      <c r="H271" s="4"/>
      <c r="I271" s="4"/>
      <c r="J271" s="4"/>
      <c r="K271" s="4"/>
      <c r="L271" s="4" t="s">
        <v>245</v>
      </c>
    </row>
    <row r="272" spans="1:12" ht="31.8" x14ac:dyDescent="0.3">
      <c r="A272" s="3">
        <v>220</v>
      </c>
      <c r="B272" s="4" t="s">
        <v>711</v>
      </c>
      <c r="C272" s="4" t="s">
        <v>712</v>
      </c>
      <c r="D272" s="4" t="s">
        <v>24</v>
      </c>
      <c r="E272" s="4" t="s">
        <v>57</v>
      </c>
      <c r="F272" s="4" t="s">
        <v>713</v>
      </c>
      <c r="G272" s="4"/>
      <c r="H272" s="4"/>
      <c r="I272" s="4"/>
      <c r="J272" s="4"/>
      <c r="K272" s="4"/>
      <c r="L272" s="4" t="s">
        <v>15</v>
      </c>
    </row>
    <row r="273" spans="1:12" ht="31.8" x14ac:dyDescent="0.3">
      <c r="A273" s="3">
        <v>221</v>
      </c>
      <c r="B273" s="4" t="s">
        <v>714</v>
      </c>
      <c r="C273" s="4" t="s">
        <v>715</v>
      </c>
      <c r="D273" s="4" t="s">
        <v>24</v>
      </c>
      <c r="E273" s="4" t="s">
        <v>697</v>
      </c>
      <c r="F273" s="4" t="s">
        <v>716</v>
      </c>
      <c r="G273" s="4"/>
      <c r="H273" s="4"/>
      <c r="I273" s="4"/>
      <c r="J273" s="4"/>
      <c r="K273" s="4"/>
      <c r="L273" s="4" t="s">
        <v>245</v>
      </c>
    </row>
    <row r="274" spans="1:12" ht="31.8" x14ac:dyDescent="0.3">
      <c r="A274" s="3">
        <v>222</v>
      </c>
      <c r="B274" s="4" t="s">
        <v>717</v>
      </c>
      <c r="C274" s="4" t="s">
        <v>718</v>
      </c>
      <c r="D274" s="4" t="s">
        <v>24</v>
      </c>
      <c r="E274" s="4" t="s">
        <v>697</v>
      </c>
      <c r="F274" s="4" t="s">
        <v>719</v>
      </c>
      <c r="G274" s="4"/>
      <c r="H274" s="4"/>
      <c r="I274" s="4"/>
      <c r="J274" s="4"/>
      <c r="K274" s="4"/>
      <c r="L274" s="4" t="s">
        <v>245</v>
      </c>
    </row>
    <row r="275" spans="1:12" ht="31.8" x14ac:dyDescent="0.3">
      <c r="A275" s="3">
        <v>223</v>
      </c>
      <c r="B275" s="4" t="s">
        <v>720</v>
      </c>
      <c r="C275" s="4" t="s">
        <v>721</v>
      </c>
      <c r="D275" s="4" t="s">
        <v>24</v>
      </c>
      <c r="E275" s="4" t="s">
        <v>57</v>
      </c>
      <c r="F275" s="4" t="s">
        <v>722</v>
      </c>
      <c r="G275" s="4"/>
      <c r="H275" s="4"/>
      <c r="I275" s="4"/>
      <c r="J275" s="4"/>
      <c r="K275" s="4"/>
      <c r="L275" s="4" t="s">
        <v>15</v>
      </c>
    </row>
    <row r="276" spans="1:12" ht="31.8" x14ac:dyDescent="0.3">
      <c r="A276" s="3">
        <v>224</v>
      </c>
      <c r="B276" s="4" t="s">
        <v>723</v>
      </c>
      <c r="C276" s="4" t="s">
        <v>724</v>
      </c>
      <c r="D276" s="4" t="s">
        <v>24</v>
      </c>
      <c r="E276" s="4" t="s">
        <v>57</v>
      </c>
      <c r="F276" s="4" t="s">
        <v>725</v>
      </c>
      <c r="G276" s="4"/>
      <c r="H276" s="4"/>
      <c r="I276" s="4"/>
      <c r="J276" s="4"/>
      <c r="K276" s="4"/>
      <c r="L276" s="4" t="s">
        <v>15</v>
      </c>
    </row>
    <row r="277" spans="1:12" ht="42" x14ac:dyDescent="0.3">
      <c r="A277" s="3">
        <v>225</v>
      </c>
      <c r="B277" s="7" t="s">
        <v>726</v>
      </c>
      <c r="C277" s="4" t="s">
        <v>727</v>
      </c>
      <c r="D277" s="4" t="s">
        <v>24</v>
      </c>
      <c r="E277" s="4" t="s">
        <v>436</v>
      </c>
      <c r="F277" s="4" t="s">
        <v>728</v>
      </c>
      <c r="G277" s="4"/>
      <c r="H277" s="4"/>
      <c r="I277" s="4"/>
      <c r="J277" s="4"/>
      <c r="K277" s="7" t="s">
        <v>729</v>
      </c>
      <c r="L277" s="4" t="s">
        <v>15</v>
      </c>
    </row>
    <row r="278" spans="1:12" ht="31.8" x14ac:dyDescent="0.3">
      <c r="A278" s="75">
        <v>226</v>
      </c>
      <c r="B278" s="75" t="s">
        <v>730</v>
      </c>
      <c r="C278" s="75" t="s">
        <v>731</v>
      </c>
      <c r="D278" s="75" t="s">
        <v>24</v>
      </c>
      <c r="E278" s="75" t="s">
        <v>697</v>
      </c>
      <c r="F278" s="75" t="s">
        <v>732</v>
      </c>
      <c r="G278" s="75"/>
      <c r="H278" s="75"/>
      <c r="I278" s="75"/>
      <c r="J278" s="75"/>
      <c r="K278" s="10" t="s">
        <v>733</v>
      </c>
      <c r="L278" s="75" t="s">
        <v>15</v>
      </c>
    </row>
    <row r="279" spans="1:12" ht="72.599999999999994" x14ac:dyDescent="0.3">
      <c r="A279" s="76"/>
      <c r="B279" s="76"/>
      <c r="C279" s="76"/>
      <c r="D279" s="76"/>
      <c r="E279" s="76"/>
      <c r="F279" s="76"/>
      <c r="G279" s="76"/>
      <c r="H279" s="76"/>
      <c r="I279" s="76"/>
      <c r="J279" s="76"/>
      <c r="K279" s="4" t="s">
        <v>734</v>
      </c>
      <c r="L279" s="76"/>
    </row>
    <row r="280" spans="1:12" ht="62.4" x14ac:dyDescent="0.3">
      <c r="A280" s="75">
        <v>227</v>
      </c>
      <c r="B280" s="75" t="s">
        <v>735</v>
      </c>
      <c r="C280" s="10" t="s">
        <v>736</v>
      </c>
      <c r="D280" s="75" t="s">
        <v>737</v>
      </c>
      <c r="E280" s="10" t="s">
        <v>697</v>
      </c>
      <c r="F280" s="10" t="s">
        <v>738</v>
      </c>
      <c r="G280" s="75"/>
      <c r="H280" s="75"/>
      <c r="I280" s="75"/>
      <c r="J280" s="75"/>
      <c r="K280" s="10" t="s">
        <v>739</v>
      </c>
      <c r="L280" s="75" t="s">
        <v>740</v>
      </c>
    </row>
    <row r="281" spans="1:12" ht="31.8" x14ac:dyDescent="0.3">
      <c r="A281" s="77"/>
      <c r="B281" s="77"/>
      <c r="C281" s="10" t="s">
        <v>741</v>
      </c>
      <c r="D281" s="77"/>
      <c r="E281" s="10"/>
      <c r="F281" s="13"/>
      <c r="G281" s="77"/>
      <c r="H281" s="77"/>
      <c r="I281" s="77"/>
      <c r="J281" s="77"/>
      <c r="K281" s="10" t="s">
        <v>742</v>
      </c>
      <c r="L281" s="77"/>
    </row>
    <row r="282" spans="1:12" ht="31.8" x14ac:dyDescent="0.3">
      <c r="A282" s="77"/>
      <c r="B282" s="77"/>
      <c r="C282" s="10" t="s">
        <v>743</v>
      </c>
      <c r="D282" s="77"/>
      <c r="E282" s="10"/>
      <c r="F282" s="13"/>
      <c r="G282" s="77"/>
      <c r="H282" s="77"/>
      <c r="I282" s="77"/>
      <c r="J282" s="77"/>
      <c r="K282" s="13"/>
      <c r="L282" s="77"/>
    </row>
    <row r="283" spans="1:12" ht="42" x14ac:dyDescent="0.3">
      <c r="A283" s="77"/>
      <c r="B283" s="77"/>
      <c r="C283" s="10" t="s">
        <v>744</v>
      </c>
      <c r="D283" s="77"/>
      <c r="E283" s="10" t="s">
        <v>697</v>
      </c>
      <c r="F283" s="10" t="s">
        <v>745</v>
      </c>
      <c r="G283" s="77"/>
      <c r="H283" s="77"/>
      <c r="I283" s="77"/>
      <c r="J283" s="77"/>
      <c r="K283" s="10" t="s">
        <v>746</v>
      </c>
      <c r="L283" s="77"/>
    </row>
    <row r="284" spans="1:12" ht="42" x14ac:dyDescent="0.3">
      <c r="A284" s="77"/>
      <c r="B284" s="77"/>
      <c r="C284" s="10"/>
      <c r="D284" s="77"/>
      <c r="E284" s="10"/>
      <c r="F284" s="10" t="s">
        <v>747</v>
      </c>
      <c r="G284" s="77"/>
      <c r="H284" s="77"/>
      <c r="I284" s="77"/>
      <c r="J284" s="77"/>
      <c r="K284" s="10" t="s">
        <v>748</v>
      </c>
      <c r="L284" s="77"/>
    </row>
    <row r="285" spans="1:12" ht="42" x14ac:dyDescent="0.3">
      <c r="A285" s="77"/>
      <c r="B285" s="77"/>
      <c r="C285" s="10"/>
      <c r="D285" s="77"/>
      <c r="E285" s="10"/>
      <c r="F285" s="10" t="s">
        <v>749</v>
      </c>
      <c r="G285" s="77"/>
      <c r="H285" s="77"/>
      <c r="I285" s="77"/>
      <c r="J285" s="77"/>
      <c r="K285" s="10"/>
      <c r="L285" s="77"/>
    </row>
    <row r="286" spans="1:12" ht="42" x14ac:dyDescent="0.3">
      <c r="A286" s="77"/>
      <c r="B286" s="77"/>
      <c r="C286" s="10"/>
      <c r="D286" s="77"/>
      <c r="E286" s="10"/>
      <c r="F286" s="10" t="s">
        <v>750</v>
      </c>
      <c r="G286" s="77"/>
      <c r="H286" s="77"/>
      <c r="I286" s="77"/>
      <c r="J286" s="77"/>
      <c r="K286" s="10"/>
      <c r="L286" s="77"/>
    </row>
    <row r="287" spans="1:12" ht="42" x14ac:dyDescent="0.3">
      <c r="A287" s="76"/>
      <c r="B287" s="76"/>
      <c r="C287" s="4"/>
      <c r="D287" s="76"/>
      <c r="E287" s="4"/>
      <c r="F287" s="4" t="s">
        <v>751</v>
      </c>
      <c r="G287" s="76"/>
      <c r="H287" s="76"/>
      <c r="I287" s="76"/>
      <c r="J287" s="76"/>
      <c r="K287" s="4"/>
      <c r="L287" s="76"/>
    </row>
    <row r="288" spans="1:12" ht="62.4" x14ac:dyDescent="0.3">
      <c r="A288" s="75">
        <v>228</v>
      </c>
      <c r="B288" s="75" t="s">
        <v>735</v>
      </c>
      <c r="C288" s="10" t="s">
        <v>736</v>
      </c>
      <c r="D288" s="75" t="s">
        <v>752</v>
      </c>
      <c r="E288" s="10" t="s">
        <v>697</v>
      </c>
      <c r="F288" s="10" t="s">
        <v>753</v>
      </c>
      <c r="G288" s="75"/>
      <c r="H288" s="75"/>
      <c r="I288" s="75"/>
      <c r="J288" s="75"/>
      <c r="K288" s="10" t="s">
        <v>739</v>
      </c>
      <c r="L288" s="75" t="s">
        <v>740</v>
      </c>
    </row>
    <row r="289" spans="1:12" ht="31.8" x14ac:dyDescent="0.3">
      <c r="A289" s="77"/>
      <c r="B289" s="77"/>
      <c r="C289" s="10" t="s">
        <v>741</v>
      </c>
      <c r="D289" s="77"/>
      <c r="E289" s="10"/>
      <c r="F289" s="13"/>
      <c r="G289" s="77"/>
      <c r="H289" s="77"/>
      <c r="I289" s="77"/>
      <c r="J289" s="77"/>
      <c r="K289" s="10" t="s">
        <v>742</v>
      </c>
      <c r="L289" s="77"/>
    </row>
    <row r="290" spans="1:12" ht="31.8" x14ac:dyDescent="0.3">
      <c r="A290" s="77"/>
      <c r="B290" s="77"/>
      <c r="C290" s="10" t="s">
        <v>743</v>
      </c>
      <c r="D290" s="77"/>
      <c r="E290" s="10"/>
      <c r="F290" s="13"/>
      <c r="G290" s="77"/>
      <c r="H290" s="77"/>
      <c r="I290" s="77"/>
      <c r="J290" s="77"/>
      <c r="K290" s="13"/>
      <c r="L290" s="77"/>
    </row>
    <row r="291" spans="1:12" ht="42" x14ac:dyDescent="0.3">
      <c r="A291" s="77"/>
      <c r="B291" s="77"/>
      <c r="C291" s="10" t="s">
        <v>744</v>
      </c>
      <c r="D291" s="77"/>
      <c r="E291" s="10" t="s">
        <v>697</v>
      </c>
      <c r="F291" s="10" t="s">
        <v>745</v>
      </c>
      <c r="G291" s="77"/>
      <c r="H291" s="77"/>
      <c r="I291" s="77"/>
      <c r="J291" s="77"/>
      <c r="K291" s="10" t="s">
        <v>746</v>
      </c>
      <c r="L291" s="77"/>
    </row>
    <row r="292" spans="1:12" ht="42" x14ac:dyDescent="0.3">
      <c r="A292" s="77"/>
      <c r="B292" s="77"/>
      <c r="C292" s="10"/>
      <c r="D292" s="77"/>
      <c r="E292" s="10"/>
      <c r="F292" s="10" t="s">
        <v>747</v>
      </c>
      <c r="G292" s="77"/>
      <c r="H292" s="77"/>
      <c r="I292" s="77"/>
      <c r="J292" s="77"/>
      <c r="K292" s="10" t="s">
        <v>748</v>
      </c>
      <c r="L292" s="77"/>
    </row>
    <row r="293" spans="1:12" ht="42" x14ac:dyDescent="0.3">
      <c r="A293" s="77"/>
      <c r="B293" s="77"/>
      <c r="C293" s="10"/>
      <c r="D293" s="77"/>
      <c r="E293" s="10"/>
      <c r="F293" s="10" t="s">
        <v>749</v>
      </c>
      <c r="G293" s="77"/>
      <c r="H293" s="77"/>
      <c r="I293" s="77"/>
      <c r="J293" s="77"/>
      <c r="K293" s="10"/>
      <c r="L293" s="77"/>
    </row>
    <row r="294" spans="1:12" ht="42" x14ac:dyDescent="0.3">
      <c r="A294" s="77"/>
      <c r="B294" s="77"/>
      <c r="C294" s="10"/>
      <c r="D294" s="77"/>
      <c r="E294" s="10"/>
      <c r="F294" s="10" t="s">
        <v>750</v>
      </c>
      <c r="G294" s="77"/>
      <c r="H294" s="77"/>
      <c r="I294" s="77"/>
      <c r="J294" s="77"/>
      <c r="K294" s="10"/>
      <c r="L294" s="77"/>
    </row>
    <row r="295" spans="1:12" ht="42" x14ac:dyDescent="0.3">
      <c r="A295" s="76"/>
      <c r="B295" s="76"/>
      <c r="C295" s="4"/>
      <c r="D295" s="76"/>
      <c r="E295" s="4"/>
      <c r="F295" s="4" t="s">
        <v>751</v>
      </c>
      <c r="G295" s="76"/>
      <c r="H295" s="76"/>
      <c r="I295" s="76"/>
      <c r="J295" s="76"/>
      <c r="K295" s="4"/>
      <c r="L295" s="76"/>
    </row>
    <row r="296" spans="1:12" ht="62.4" x14ac:dyDescent="0.3">
      <c r="A296" s="75">
        <v>229</v>
      </c>
      <c r="B296" s="75" t="s">
        <v>735</v>
      </c>
      <c r="C296" s="10" t="s">
        <v>736</v>
      </c>
      <c r="D296" s="75" t="s">
        <v>754</v>
      </c>
      <c r="E296" s="10" t="s">
        <v>697</v>
      </c>
      <c r="F296" s="10" t="s">
        <v>755</v>
      </c>
      <c r="G296" s="75"/>
      <c r="H296" s="75"/>
      <c r="I296" s="75"/>
      <c r="J296" s="75"/>
      <c r="K296" s="10" t="s">
        <v>739</v>
      </c>
      <c r="L296" s="75" t="s">
        <v>740</v>
      </c>
    </row>
    <row r="297" spans="1:12" ht="31.8" x14ac:dyDescent="0.3">
      <c r="A297" s="77"/>
      <c r="B297" s="77"/>
      <c r="C297" s="10" t="s">
        <v>741</v>
      </c>
      <c r="D297" s="77"/>
      <c r="E297" s="10"/>
      <c r="F297" s="13"/>
      <c r="G297" s="77"/>
      <c r="H297" s="77"/>
      <c r="I297" s="77"/>
      <c r="J297" s="77"/>
      <c r="K297" s="10" t="s">
        <v>742</v>
      </c>
      <c r="L297" s="77"/>
    </row>
    <row r="298" spans="1:12" ht="42" x14ac:dyDescent="0.3">
      <c r="A298" s="77"/>
      <c r="B298" s="77"/>
      <c r="C298" s="10" t="s">
        <v>743</v>
      </c>
      <c r="D298" s="77"/>
      <c r="E298" s="10"/>
      <c r="F298" s="10" t="s">
        <v>745</v>
      </c>
      <c r="G298" s="77"/>
      <c r="H298" s="77"/>
      <c r="I298" s="77"/>
      <c r="J298" s="77"/>
      <c r="K298" s="13"/>
      <c r="L298" s="77"/>
    </row>
    <row r="299" spans="1:12" ht="42" x14ac:dyDescent="0.3">
      <c r="A299" s="77"/>
      <c r="B299" s="77"/>
      <c r="C299" s="10" t="s">
        <v>744</v>
      </c>
      <c r="D299" s="77"/>
      <c r="E299" s="10" t="s">
        <v>697</v>
      </c>
      <c r="F299" s="10" t="s">
        <v>747</v>
      </c>
      <c r="G299" s="77"/>
      <c r="H299" s="77"/>
      <c r="I299" s="77"/>
      <c r="J299" s="77"/>
      <c r="K299" s="10" t="s">
        <v>746</v>
      </c>
      <c r="L299" s="77"/>
    </row>
    <row r="300" spans="1:12" ht="42" x14ac:dyDescent="0.3">
      <c r="A300" s="77"/>
      <c r="B300" s="77"/>
      <c r="C300" s="10"/>
      <c r="D300" s="77"/>
      <c r="E300" s="10"/>
      <c r="F300" s="10" t="s">
        <v>749</v>
      </c>
      <c r="G300" s="77"/>
      <c r="H300" s="77"/>
      <c r="I300" s="77"/>
      <c r="J300" s="77"/>
      <c r="K300" s="10" t="s">
        <v>748</v>
      </c>
      <c r="L300" s="77"/>
    </row>
    <row r="301" spans="1:12" ht="42" x14ac:dyDescent="0.3">
      <c r="A301" s="77"/>
      <c r="B301" s="77"/>
      <c r="C301" s="10"/>
      <c r="D301" s="77"/>
      <c r="E301" s="10"/>
      <c r="F301" s="10" t="s">
        <v>750</v>
      </c>
      <c r="G301" s="77"/>
      <c r="H301" s="77"/>
      <c r="I301" s="77"/>
      <c r="J301" s="77"/>
      <c r="K301" s="10"/>
      <c r="L301" s="77"/>
    </row>
    <row r="302" spans="1:12" ht="42" x14ac:dyDescent="0.3">
      <c r="A302" s="76"/>
      <c r="B302" s="76"/>
      <c r="C302" s="4"/>
      <c r="D302" s="76"/>
      <c r="E302" s="4"/>
      <c r="F302" s="4" t="s">
        <v>751</v>
      </c>
      <c r="G302" s="76"/>
      <c r="H302" s="76"/>
      <c r="I302" s="76"/>
      <c r="J302" s="76"/>
      <c r="K302" s="4"/>
      <c r="L302" s="76"/>
    </row>
    <row r="303" spans="1:12" ht="62.4" x14ac:dyDescent="0.3">
      <c r="A303" s="75">
        <v>230</v>
      </c>
      <c r="B303" s="75" t="s">
        <v>735</v>
      </c>
      <c r="C303" s="10" t="s">
        <v>736</v>
      </c>
      <c r="D303" s="75" t="s">
        <v>756</v>
      </c>
      <c r="E303" s="10" t="s">
        <v>697</v>
      </c>
      <c r="F303" s="10" t="s">
        <v>757</v>
      </c>
      <c r="G303" s="75"/>
      <c r="H303" s="75"/>
      <c r="I303" s="75"/>
      <c r="J303" s="75"/>
      <c r="K303" s="10" t="s">
        <v>739</v>
      </c>
      <c r="L303" s="75" t="s">
        <v>740</v>
      </c>
    </row>
    <row r="304" spans="1:12" ht="31.8" x14ac:dyDescent="0.3">
      <c r="A304" s="77"/>
      <c r="B304" s="77"/>
      <c r="C304" s="10" t="s">
        <v>741</v>
      </c>
      <c r="D304" s="77"/>
      <c r="E304" s="10"/>
      <c r="F304" s="13"/>
      <c r="G304" s="77"/>
      <c r="H304" s="77"/>
      <c r="I304" s="77"/>
      <c r="J304" s="77"/>
      <c r="K304" s="10" t="s">
        <v>742</v>
      </c>
      <c r="L304" s="77"/>
    </row>
    <row r="305" spans="1:12" ht="31.8" x14ac:dyDescent="0.3">
      <c r="A305" s="77"/>
      <c r="B305" s="77"/>
      <c r="C305" s="10" t="s">
        <v>743</v>
      </c>
      <c r="D305" s="77"/>
      <c r="E305" s="10"/>
      <c r="F305" s="13"/>
      <c r="G305" s="77"/>
      <c r="H305" s="77"/>
      <c r="I305" s="77"/>
      <c r="J305" s="77"/>
      <c r="K305" s="13"/>
      <c r="L305" s="77"/>
    </row>
    <row r="306" spans="1:12" ht="42" x14ac:dyDescent="0.3">
      <c r="A306" s="77"/>
      <c r="B306" s="77"/>
      <c r="C306" s="10" t="s">
        <v>744</v>
      </c>
      <c r="D306" s="77"/>
      <c r="E306" s="10" t="s">
        <v>697</v>
      </c>
      <c r="F306" s="10" t="s">
        <v>745</v>
      </c>
      <c r="G306" s="77"/>
      <c r="H306" s="77"/>
      <c r="I306" s="77"/>
      <c r="J306" s="77"/>
      <c r="K306" s="10" t="s">
        <v>746</v>
      </c>
      <c r="L306" s="77"/>
    </row>
    <row r="307" spans="1:12" ht="42" x14ac:dyDescent="0.3">
      <c r="A307" s="77"/>
      <c r="B307" s="77"/>
      <c r="C307" s="10"/>
      <c r="D307" s="77"/>
      <c r="E307" s="10"/>
      <c r="F307" s="10" t="s">
        <v>747</v>
      </c>
      <c r="G307" s="77"/>
      <c r="H307" s="77"/>
      <c r="I307" s="77"/>
      <c r="J307" s="77"/>
      <c r="K307" s="10" t="s">
        <v>748</v>
      </c>
      <c r="L307" s="77"/>
    </row>
    <row r="308" spans="1:12" ht="42" x14ac:dyDescent="0.3">
      <c r="A308" s="77"/>
      <c r="B308" s="77"/>
      <c r="C308" s="10"/>
      <c r="D308" s="77"/>
      <c r="E308" s="10"/>
      <c r="F308" s="10" t="s">
        <v>749</v>
      </c>
      <c r="G308" s="77"/>
      <c r="H308" s="77"/>
      <c r="I308" s="77"/>
      <c r="J308" s="77"/>
      <c r="K308" s="10"/>
      <c r="L308" s="77"/>
    </row>
    <row r="309" spans="1:12" ht="42" x14ac:dyDescent="0.3">
      <c r="A309" s="77"/>
      <c r="B309" s="77"/>
      <c r="C309" s="10"/>
      <c r="D309" s="77"/>
      <c r="E309" s="10"/>
      <c r="F309" s="10" t="s">
        <v>750</v>
      </c>
      <c r="G309" s="77"/>
      <c r="H309" s="77"/>
      <c r="I309" s="77"/>
      <c r="J309" s="77"/>
      <c r="K309" s="10"/>
      <c r="L309" s="77"/>
    </row>
    <row r="310" spans="1:12" ht="42" x14ac:dyDescent="0.3">
      <c r="A310" s="76"/>
      <c r="B310" s="76"/>
      <c r="C310" s="4"/>
      <c r="D310" s="76"/>
      <c r="E310" s="4"/>
      <c r="F310" s="4" t="s">
        <v>751</v>
      </c>
      <c r="G310" s="76"/>
      <c r="H310" s="76"/>
      <c r="I310" s="76"/>
      <c r="J310" s="76"/>
      <c r="K310" s="4"/>
      <c r="L310" s="76"/>
    </row>
    <row r="311" spans="1:12" ht="62.4" x14ac:dyDescent="0.3">
      <c r="A311" s="75">
        <v>231</v>
      </c>
      <c r="B311" s="75" t="s">
        <v>735</v>
      </c>
      <c r="C311" s="10" t="s">
        <v>736</v>
      </c>
      <c r="D311" s="75" t="s">
        <v>758</v>
      </c>
      <c r="E311" s="10" t="s">
        <v>697</v>
      </c>
      <c r="F311" s="10" t="s">
        <v>759</v>
      </c>
      <c r="G311" s="75"/>
      <c r="H311" s="75"/>
      <c r="I311" s="75"/>
      <c r="J311" s="75"/>
      <c r="K311" s="10" t="s">
        <v>739</v>
      </c>
      <c r="L311" s="75" t="s">
        <v>740</v>
      </c>
    </row>
    <row r="312" spans="1:12" ht="31.8" x14ac:dyDescent="0.3">
      <c r="A312" s="77"/>
      <c r="B312" s="77"/>
      <c r="C312" s="10" t="s">
        <v>741</v>
      </c>
      <c r="D312" s="77"/>
      <c r="E312" s="10"/>
      <c r="F312" s="13"/>
      <c r="G312" s="77"/>
      <c r="H312" s="77"/>
      <c r="I312" s="77"/>
      <c r="J312" s="77"/>
      <c r="K312" s="10" t="s">
        <v>742</v>
      </c>
      <c r="L312" s="77"/>
    </row>
    <row r="313" spans="1:12" ht="31.8" x14ac:dyDescent="0.3">
      <c r="A313" s="77"/>
      <c r="B313" s="77"/>
      <c r="C313" s="10" t="s">
        <v>743</v>
      </c>
      <c r="D313" s="77"/>
      <c r="E313" s="10"/>
      <c r="F313" s="13"/>
      <c r="G313" s="77"/>
      <c r="H313" s="77"/>
      <c r="I313" s="77"/>
      <c r="J313" s="77"/>
      <c r="K313" s="13"/>
      <c r="L313" s="77"/>
    </row>
    <row r="314" spans="1:12" ht="42" x14ac:dyDescent="0.3">
      <c r="A314" s="77"/>
      <c r="B314" s="77"/>
      <c r="C314" s="10" t="s">
        <v>744</v>
      </c>
      <c r="D314" s="77"/>
      <c r="E314" s="10" t="s">
        <v>697</v>
      </c>
      <c r="F314" s="10" t="s">
        <v>745</v>
      </c>
      <c r="G314" s="77"/>
      <c r="H314" s="77"/>
      <c r="I314" s="77"/>
      <c r="J314" s="77"/>
      <c r="K314" s="10" t="s">
        <v>746</v>
      </c>
      <c r="L314" s="77"/>
    </row>
    <row r="315" spans="1:12" ht="42" x14ac:dyDescent="0.3">
      <c r="A315" s="77"/>
      <c r="B315" s="77"/>
      <c r="C315" s="10"/>
      <c r="D315" s="77"/>
      <c r="E315" s="10"/>
      <c r="F315" s="10" t="s">
        <v>747</v>
      </c>
      <c r="G315" s="77"/>
      <c r="H315" s="77"/>
      <c r="I315" s="77"/>
      <c r="J315" s="77"/>
      <c r="K315" s="10" t="s">
        <v>748</v>
      </c>
      <c r="L315" s="77"/>
    </row>
    <row r="316" spans="1:12" ht="42" x14ac:dyDescent="0.3">
      <c r="A316" s="77"/>
      <c r="B316" s="77"/>
      <c r="C316" s="10"/>
      <c r="D316" s="77"/>
      <c r="E316" s="10"/>
      <c r="F316" s="10" t="s">
        <v>749</v>
      </c>
      <c r="G316" s="77"/>
      <c r="H316" s="77"/>
      <c r="I316" s="77"/>
      <c r="J316" s="77"/>
      <c r="K316" s="10"/>
      <c r="L316" s="77"/>
    </row>
    <row r="317" spans="1:12" ht="42" x14ac:dyDescent="0.3">
      <c r="A317" s="77"/>
      <c r="B317" s="77"/>
      <c r="C317" s="10"/>
      <c r="D317" s="77"/>
      <c r="E317" s="10"/>
      <c r="F317" s="10" t="s">
        <v>750</v>
      </c>
      <c r="G317" s="77"/>
      <c r="H317" s="77"/>
      <c r="I317" s="77"/>
      <c r="J317" s="77"/>
      <c r="K317" s="10"/>
      <c r="L317" s="77"/>
    </row>
    <row r="318" spans="1:12" ht="42" x14ac:dyDescent="0.3">
      <c r="A318" s="76"/>
      <c r="B318" s="76"/>
      <c r="C318" s="4"/>
      <c r="D318" s="76"/>
      <c r="E318" s="4"/>
      <c r="F318" s="4" t="s">
        <v>751</v>
      </c>
      <c r="G318" s="76"/>
      <c r="H318" s="76"/>
      <c r="I318" s="76"/>
      <c r="J318" s="76"/>
      <c r="K318" s="4"/>
      <c r="L318" s="76"/>
    </row>
    <row r="319" spans="1:12" ht="139.19999999999999" customHeight="1" x14ac:dyDescent="0.3">
      <c r="A319" s="75">
        <v>232</v>
      </c>
      <c r="B319" s="75" t="s">
        <v>735</v>
      </c>
      <c r="C319" s="10" t="s">
        <v>736</v>
      </c>
      <c r="D319" s="75" t="s">
        <v>760</v>
      </c>
      <c r="E319" s="75" t="s">
        <v>697</v>
      </c>
      <c r="F319" s="75" t="s">
        <v>761</v>
      </c>
      <c r="G319" s="75"/>
      <c r="H319" s="75"/>
      <c r="I319" s="75"/>
      <c r="J319" s="75"/>
      <c r="K319" s="75" t="s">
        <v>742</v>
      </c>
      <c r="L319" s="75" t="s">
        <v>762</v>
      </c>
    </row>
    <row r="320" spans="1:12" ht="31.8" x14ac:dyDescent="0.3">
      <c r="A320" s="77"/>
      <c r="B320" s="77"/>
      <c r="C320" s="10" t="s">
        <v>741</v>
      </c>
      <c r="D320" s="77"/>
      <c r="E320" s="77"/>
      <c r="F320" s="77"/>
      <c r="G320" s="77"/>
      <c r="H320" s="77"/>
      <c r="I320" s="77"/>
      <c r="J320" s="77"/>
      <c r="K320" s="77"/>
      <c r="L320" s="77"/>
    </row>
    <row r="321" spans="1:12" ht="31.8" x14ac:dyDescent="0.3">
      <c r="A321" s="77"/>
      <c r="B321" s="77"/>
      <c r="C321" s="10" t="s">
        <v>743</v>
      </c>
      <c r="D321" s="77"/>
      <c r="E321" s="77"/>
      <c r="F321" s="77"/>
      <c r="G321" s="77"/>
      <c r="H321" s="77"/>
      <c r="I321" s="77"/>
      <c r="J321" s="77"/>
      <c r="K321" s="77"/>
      <c r="L321" s="77"/>
    </row>
    <row r="322" spans="1:12" ht="31.8" x14ac:dyDescent="0.3">
      <c r="A322" s="76"/>
      <c r="B322" s="76"/>
      <c r="C322" s="4" t="s">
        <v>744</v>
      </c>
      <c r="D322" s="76"/>
      <c r="E322" s="76"/>
      <c r="F322" s="76"/>
      <c r="G322" s="76"/>
      <c r="H322" s="76"/>
      <c r="I322" s="76"/>
      <c r="J322" s="76"/>
      <c r="K322" s="76"/>
      <c r="L322" s="76"/>
    </row>
    <row r="323" spans="1:12" ht="139.19999999999999" customHeight="1" x14ac:dyDescent="0.3">
      <c r="A323" s="75">
        <v>233</v>
      </c>
      <c r="B323" s="75" t="s">
        <v>735</v>
      </c>
      <c r="C323" s="10" t="s">
        <v>736</v>
      </c>
      <c r="D323" s="75" t="s">
        <v>763</v>
      </c>
      <c r="E323" s="75" t="s">
        <v>697</v>
      </c>
      <c r="F323" s="75" t="s">
        <v>764</v>
      </c>
      <c r="G323" s="75"/>
      <c r="H323" s="75"/>
      <c r="I323" s="75"/>
      <c r="J323" s="75"/>
      <c r="K323" s="75" t="s">
        <v>742</v>
      </c>
      <c r="L323" s="75" t="s">
        <v>762</v>
      </c>
    </row>
    <row r="324" spans="1:12" ht="31.8" x14ac:dyDescent="0.3">
      <c r="A324" s="77"/>
      <c r="B324" s="77"/>
      <c r="C324" s="10" t="s">
        <v>741</v>
      </c>
      <c r="D324" s="77"/>
      <c r="E324" s="77"/>
      <c r="F324" s="77"/>
      <c r="G324" s="77"/>
      <c r="H324" s="77"/>
      <c r="I324" s="77"/>
      <c r="J324" s="77"/>
      <c r="K324" s="77"/>
      <c r="L324" s="77"/>
    </row>
    <row r="325" spans="1:12" ht="31.8" x14ac:dyDescent="0.3">
      <c r="A325" s="77"/>
      <c r="B325" s="77"/>
      <c r="C325" s="10" t="s">
        <v>743</v>
      </c>
      <c r="D325" s="77"/>
      <c r="E325" s="77"/>
      <c r="F325" s="77"/>
      <c r="G325" s="77"/>
      <c r="H325" s="77"/>
      <c r="I325" s="77"/>
      <c r="J325" s="77"/>
      <c r="K325" s="77"/>
      <c r="L325" s="77"/>
    </row>
    <row r="326" spans="1:12" ht="31.8" x14ac:dyDescent="0.3">
      <c r="A326" s="76"/>
      <c r="B326" s="76"/>
      <c r="C326" s="4" t="s">
        <v>744</v>
      </c>
      <c r="D326" s="76"/>
      <c r="E326" s="76"/>
      <c r="F326" s="76"/>
      <c r="G326" s="76"/>
      <c r="H326" s="76"/>
      <c r="I326" s="76"/>
      <c r="J326" s="76"/>
      <c r="K326" s="76"/>
      <c r="L326" s="76"/>
    </row>
    <row r="327" spans="1:12" ht="31.8" x14ac:dyDescent="0.3">
      <c r="A327" s="75">
        <v>234</v>
      </c>
      <c r="B327" s="75" t="s">
        <v>765</v>
      </c>
      <c r="C327" s="75" t="s">
        <v>766</v>
      </c>
      <c r="D327" s="75" t="s">
        <v>24</v>
      </c>
      <c r="E327" s="75" t="s">
        <v>697</v>
      </c>
      <c r="F327" s="75" t="s">
        <v>767</v>
      </c>
      <c r="G327" s="75"/>
      <c r="H327" s="75"/>
      <c r="I327" s="75"/>
      <c r="J327" s="75"/>
      <c r="K327" s="10" t="s">
        <v>739</v>
      </c>
      <c r="L327" s="75" t="e">
        <v>#VALUE!</v>
      </c>
    </row>
    <row r="328" spans="1:12" ht="72.599999999999994" x14ac:dyDescent="0.3">
      <c r="A328" s="76"/>
      <c r="B328" s="76"/>
      <c r="C328" s="76"/>
      <c r="D328" s="76"/>
      <c r="E328" s="76"/>
      <c r="F328" s="76"/>
      <c r="G328" s="76"/>
      <c r="H328" s="76"/>
      <c r="I328" s="76"/>
      <c r="J328" s="76"/>
      <c r="K328" s="4" t="s">
        <v>768</v>
      </c>
      <c r="L328" s="76"/>
    </row>
    <row r="329" spans="1:12" ht="31.8" x14ac:dyDescent="0.3">
      <c r="A329" s="75">
        <v>235</v>
      </c>
      <c r="B329" s="75" t="s">
        <v>769</v>
      </c>
      <c r="C329" s="75" t="s">
        <v>770</v>
      </c>
      <c r="D329" s="75" t="s">
        <v>24</v>
      </c>
      <c r="E329" s="75" t="s">
        <v>697</v>
      </c>
      <c r="F329" s="75" t="s">
        <v>771</v>
      </c>
      <c r="G329" s="75"/>
      <c r="H329" s="75"/>
      <c r="I329" s="75"/>
      <c r="J329" s="75"/>
      <c r="K329" s="10" t="s">
        <v>739</v>
      </c>
      <c r="L329" s="75" t="s">
        <v>15</v>
      </c>
    </row>
    <row r="330" spans="1:12" ht="72.599999999999994" x14ac:dyDescent="0.3">
      <c r="A330" s="76"/>
      <c r="B330" s="76"/>
      <c r="C330" s="76"/>
      <c r="D330" s="76"/>
      <c r="E330" s="76"/>
      <c r="F330" s="76"/>
      <c r="G330" s="76"/>
      <c r="H330" s="76"/>
      <c r="I330" s="76"/>
      <c r="J330" s="76"/>
      <c r="K330" s="4" t="s">
        <v>734</v>
      </c>
      <c r="L330" s="76"/>
    </row>
    <row r="331" spans="1:12" ht="31.8" x14ac:dyDescent="0.3">
      <c r="A331" s="75">
        <v>236</v>
      </c>
      <c r="B331" s="75" t="s">
        <v>772</v>
      </c>
      <c r="C331" s="75" t="s">
        <v>773</v>
      </c>
      <c r="D331" s="75" t="s">
        <v>24</v>
      </c>
      <c r="E331" s="75" t="s">
        <v>57</v>
      </c>
      <c r="F331" s="75" t="s">
        <v>774</v>
      </c>
      <c r="G331" s="75"/>
      <c r="H331" s="75"/>
      <c r="I331" s="75"/>
      <c r="J331" s="75"/>
      <c r="K331" s="10" t="s">
        <v>775</v>
      </c>
      <c r="L331" s="75" t="s">
        <v>15</v>
      </c>
    </row>
    <row r="332" spans="1:12" ht="62.4" x14ac:dyDescent="0.3">
      <c r="A332" s="76"/>
      <c r="B332" s="76"/>
      <c r="C332" s="76"/>
      <c r="D332" s="76"/>
      <c r="E332" s="76"/>
      <c r="F332" s="76"/>
      <c r="G332" s="76"/>
      <c r="H332" s="76"/>
      <c r="I332" s="76"/>
      <c r="J332" s="76"/>
      <c r="K332" s="4" t="s">
        <v>776</v>
      </c>
      <c r="L332" s="76"/>
    </row>
    <row r="333" spans="1:12" ht="42" x14ac:dyDescent="0.3">
      <c r="A333" s="3">
        <v>237</v>
      </c>
      <c r="B333" s="4" t="s">
        <v>777</v>
      </c>
      <c r="C333" s="4" t="s">
        <v>778</v>
      </c>
      <c r="D333" s="4" t="s">
        <v>24</v>
      </c>
      <c r="E333" s="4" t="s">
        <v>46</v>
      </c>
      <c r="F333" s="4" t="s">
        <v>778</v>
      </c>
      <c r="G333" s="4"/>
      <c r="H333" s="4"/>
      <c r="I333" s="4"/>
      <c r="J333" s="4"/>
      <c r="K333" s="7" t="s">
        <v>779</v>
      </c>
      <c r="L333" s="4" t="s">
        <v>15</v>
      </c>
    </row>
    <row r="334" spans="1:12" ht="52.2" x14ac:dyDescent="0.3">
      <c r="A334" s="3">
        <v>238</v>
      </c>
      <c r="B334" s="4" t="s">
        <v>780</v>
      </c>
      <c r="C334" s="4" t="s">
        <v>781</v>
      </c>
      <c r="D334" s="4" t="s">
        <v>24</v>
      </c>
      <c r="E334" s="4" t="s">
        <v>46</v>
      </c>
      <c r="F334" s="4" t="s">
        <v>781</v>
      </c>
      <c r="G334" s="4"/>
      <c r="H334" s="4"/>
      <c r="I334" s="4"/>
      <c r="J334" s="4"/>
      <c r="K334" s="4" t="s">
        <v>782</v>
      </c>
      <c r="L334" s="4"/>
    </row>
    <row r="335" spans="1:12" ht="31.8" x14ac:dyDescent="0.3">
      <c r="A335" s="3"/>
      <c r="B335" s="4" t="s">
        <v>783</v>
      </c>
      <c r="C335" s="4" t="s">
        <v>784</v>
      </c>
      <c r="D335" s="4" t="s">
        <v>24</v>
      </c>
      <c r="E335" s="4" t="s">
        <v>46</v>
      </c>
      <c r="F335" s="4" t="s">
        <v>784</v>
      </c>
      <c r="G335" s="4"/>
      <c r="H335" s="4"/>
      <c r="I335" s="4"/>
      <c r="J335" s="4"/>
      <c r="K335" s="4" t="s">
        <v>785</v>
      </c>
      <c r="L335" s="4" t="s">
        <v>15</v>
      </c>
    </row>
    <row r="336" spans="1:12" ht="42" x14ac:dyDescent="0.3">
      <c r="A336" s="3"/>
      <c r="B336" s="4" t="s">
        <v>786</v>
      </c>
      <c r="C336" s="4" t="s">
        <v>787</v>
      </c>
      <c r="D336" s="4" t="s">
        <v>24</v>
      </c>
      <c r="E336" s="4" t="s">
        <v>46</v>
      </c>
      <c r="F336" s="4" t="s">
        <v>787</v>
      </c>
      <c r="G336" s="4"/>
      <c r="H336" s="4"/>
      <c r="I336" s="4"/>
      <c r="J336" s="4"/>
      <c r="K336" s="4" t="s">
        <v>785</v>
      </c>
      <c r="L336" s="4" t="s">
        <v>15</v>
      </c>
    </row>
    <row r="337" spans="1:12" ht="52.2" x14ac:dyDescent="0.3">
      <c r="A337" s="3"/>
      <c r="B337" s="4" t="s">
        <v>788</v>
      </c>
      <c r="C337" s="4" t="s">
        <v>789</v>
      </c>
      <c r="D337" s="4" t="s">
        <v>24</v>
      </c>
      <c r="E337" s="4" t="s">
        <v>46</v>
      </c>
      <c r="F337" s="4" t="s">
        <v>789</v>
      </c>
      <c r="G337" s="4"/>
      <c r="H337" s="4"/>
      <c r="I337" s="4"/>
      <c r="J337" s="4"/>
      <c r="K337" s="4" t="s">
        <v>785</v>
      </c>
      <c r="L337" s="4" t="s">
        <v>15</v>
      </c>
    </row>
    <row r="338" spans="1:12" ht="52.2" x14ac:dyDescent="0.3">
      <c r="A338" s="3"/>
      <c r="B338" s="4" t="s">
        <v>790</v>
      </c>
      <c r="C338" s="4" t="s">
        <v>791</v>
      </c>
      <c r="D338" s="4" t="s">
        <v>24</v>
      </c>
      <c r="E338" s="4" t="s">
        <v>46</v>
      </c>
      <c r="F338" s="4" t="s">
        <v>791</v>
      </c>
      <c r="G338" s="4"/>
      <c r="H338" s="4"/>
      <c r="I338" s="4"/>
      <c r="J338" s="4"/>
      <c r="K338" s="4" t="s">
        <v>792</v>
      </c>
      <c r="L338" s="4"/>
    </row>
    <row r="339" spans="1:12" ht="52.2" x14ac:dyDescent="0.3">
      <c r="A339" s="3"/>
      <c r="B339" s="4" t="s">
        <v>793</v>
      </c>
      <c r="C339" s="4" t="s">
        <v>794</v>
      </c>
      <c r="D339" s="4" t="s">
        <v>24</v>
      </c>
      <c r="E339" s="4" t="s">
        <v>46</v>
      </c>
      <c r="F339" s="4" t="s">
        <v>794</v>
      </c>
      <c r="G339" s="4"/>
      <c r="H339" s="4"/>
      <c r="I339" s="4"/>
      <c r="J339" s="4"/>
      <c r="K339" s="4" t="s">
        <v>792</v>
      </c>
      <c r="L339" s="4"/>
    </row>
    <row r="340" spans="1:12" ht="52.2" x14ac:dyDescent="0.3">
      <c r="A340" s="3"/>
      <c r="B340" s="4" t="s">
        <v>795</v>
      </c>
      <c r="C340" s="4" t="s">
        <v>796</v>
      </c>
      <c r="D340" s="4" t="s">
        <v>24</v>
      </c>
      <c r="E340" s="4" t="s">
        <v>46</v>
      </c>
      <c r="F340" s="4" t="s">
        <v>796</v>
      </c>
      <c r="G340" s="4"/>
      <c r="H340" s="4"/>
      <c r="I340" s="4"/>
      <c r="J340" s="4"/>
      <c r="K340" s="4" t="s">
        <v>792</v>
      </c>
      <c r="L340" s="4"/>
    </row>
    <row r="341" spans="1:12" ht="42" x14ac:dyDescent="0.3">
      <c r="A341" s="3"/>
      <c r="B341" s="4" t="s">
        <v>797</v>
      </c>
      <c r="C341" s="4" t="s">
        <v>798</v>
      </c>
      <c r="D341" s="4" t="s">
        <v>24</v>
      </c>
      <c r="E341" s="4" t="s">
        <v>46</v>
      </c>
      <c r="F341" s="4" t="s">
        <v>798</v>
      </c>
      <c r="G341" s="4"/>
      <c r="H341" s="4"/>
      <c r="I341" s="4"/>
      <c r="J341" s="4"/>
      <c r="K341" s="4" t="s">
        <v>792</v>
      </c>
      <c r="L341" s="4"/>
    </row>
    <row r="342" spans="1:12" ht="21.6" x14ac:dyDescent="0.3">
      <c r="A342" s="3" t="s">
        <v>15</v>
      </c>
      <c r="B342" s="4" t="s">
        <v>73</v>
      </c>
      <c r="C342" s="4" t="s">
        <v>799</v>
      </c>
      <c r="D342" s="4" t="s">
        <v>16</v>
      </c>
      <c r="E342" s="4" t="s">
        <v>15</v>
      </c>
      <c r="F342" s="4" t="s">
        <v>15</v>
      </c>
      <c r="G342" s="4"/>
      <c r="H342" s="4"/>
      <c r="I342" s="4"/>
      <c r="J342" s="4"/>
      <c r="K342" s="4" t="s">
        <v>15</v>
      </c>
      <c r="L342" s="4" t="s">
        <v>15</v>
      </c>
    </row>
    <row r="343" spans="1:12" ht="31.8" x14ac:dyDescent="0.3">
      <c r="A343" s="3">
        <v>239</v>
      </c>
      <c r="B343" s="4" t="s">
        <v>800</v>
      </c>
      <c r="C343" s="4" t="s">
        <v>801</v>
      </c>
      <c r="D343" s="4" t="s">
        <v>16</v>
      </c>
      <c r="E343" s="4" t="s">
        <v>15</v>
      </c>
      <c r="F343" s="4" t="s">
        <v>15</v>
      </c>
      <c r="G343" s="4"/>
      <c r="H343" s="4"/>
      <c r="I343" s="4"/>
      <c r="J343" s="4"/>
      <c r="K343" s="4" t="s">
        <v>15</v>
      </c>
      <c r="L343" s="4" t="s">
        <v>15</v>
      </c>
    </row>
    <row r="344" spans="1:12" ht="52.2" x14ac:dyDescent="0.3">
      <c r="A344" s="3">
        <v>240</v>
      </c>
      <c r="B344" s="4" t="s">
        <v>802</v>
      </c>
      <c r="C344" s="4" t="s">
        <v>803</v>
      </c>
      <c r="D344" s="4" t="s">
        <v>804</v>
      </c>
      <c r="E344" s="4" t="s">
        <v>31</v>
      </c>
      <c r="F344" s="4" t="s">
        <v>805</v>
      </c>
      <c r="G344" s="4"/>
      <c r="H344" s="4"/>
      <c r="I344" s="4"/>
      <c r="J344" s="4"/>
      <c r="K344" s="4" t="s">
        <v>15</v>
      </c>
      <c r="L344" s="4" t="s">
        <v>15</v>
      </c>
    </row>
    <row r="345" spans="1:12" ht="52.2" x14ac:dyDescent="0.3">
      <c r="A345" s="3">
        <v>241</v>
      </c>
      <c r="B345" s="4" t="s">
        <v>806</v>
      </c>
      <c r="C345" s="4" t="s">
        <v>803</v>
      </c>
      <c r="D345" s="4" t="s">
        <v>804</v>
      </c>
      <c r="E345" s="4" t="s">
        <v>57</v>
      </c>
      <c r="F345" s="4" t="s">
        <v>807</v>
      </c>
      <c r="G345" s="4"/>
      <c r="H345" s="4"/>
      <c r="I345" s="4"/>
      <c r="J345" s="4"/>
      <c r="K345" s="4" t="s">
        <v>15</v>
      </c>
      <c r="L345" s="4" t="s">
        <v>15</v>
      </c>
    </row>
    <row r="346" spans="1:12" ht="93" x14ac:dyDescent="0.3">
      <c r="A346" s="3">
        <v>242</v>
      </c>
      <c r="B346" s="4" t="s">
        <v>808</v>
      </c>
      <c r="C346" s="4" t="s">
        <v>803</v>
      </c>
      <c r="D346" s="4" t="s">
        <v>809</v>
      </c>
      <c r="E346" s="4" t="s">
        <v>31</v>
      </c>
      <c r="F346" s="4" t="s">
        <v>810</v>
      </c>
      <c r="G346" s="4"/>
      <c r="H346" s="4"/>
      <c r="I346" s="4"/>
      <c r="J346" s="4"/>
      <c r="K346" s="4" t="s">
        <v>15</v>
      </c>
      <c r="L346" s="4" t="s">
        <v>15</v>
      </c>
    </row>
    <row r="347" spans="1:12" ht="72.599999999999994" x14ac:dyDescent="0.3">
      <c r="A347" s="3">
        <v>243</v>
      </c>
      <c r="B347" s="7" t="s">
        <v>252</v>
      </c>
      <c r="C347" s="4" t="s">
        <v>803</v>
      </c>
      <c r="D347" s="4" t="s">
        <v>811</v>
      </c>
      <c r="E347" s="4" t="s">
        <v>31</v>
      </c>
      <c r="F347" s="4" t="s">
        <v>812</v>
      </c>
      <c r="G347" s="4"/>
      <c r="H347" s="4"/>
      <c r="I347" s="4"/>
      <c r="J347" s="4"/>
      <c r="K347" s="4" t="s">
        <v>813</v>
      </c>
      <c r="L347" s="4" t="s">
        <v>15</v>
      </c>
    </row>
    <row r="348" spans="1:12" ht="52.2" x14ac:dyDescent="0.3">
      <c r="A348" s="3">
        <v>244</v>
      </c>
      <c r="B348" s="7" t="s">
        <v>814</v>
      </c>
      <c r="C348" s="4" t="s">
        <v>803</v>
      </c>
      <c r="D348" s="4" t="s">
        <v>815</v>
      </c>
      <c r="E348" s="4" t="s">
        <v>31</v>
      </c>
      <c r="F348" s="4" t="s">
        <v>816</v>
      </c>
      <c r="G348" s="4"/>
      <c r="H348" s="4"/>
      <c r="I348" s="4"/>
      <c r="J348" s="4"/>
      <c r="K348" s="4" t="s">
        <v>15</v>
      </c>
      <c r="L348" s="4" t="s">
        <v>15</v>
      </c>
    </row>
    <row r="349" spans="1:12" ht="52.2" x14ac:dyDescent="0.3">
      <c r="A349" s="3">
        <v>245</v>
      </c>
      <c r="B349" s="7" t="s">
        <v>814</v>
      </c>
      <c r="C349" s="4" t="s">
        <v>803</v>
      </c>
      <c r="D349" s="4" t="s">
        <v>815</v>
      </c>
      <c r="E349" s="4" t="s">
        <v>57</v>
      </c>
      <c r="F349" s="4" t="s">
        <v>816</v>
      </c>
      <c r="G349" s="4"/>
      <c r="H349" s="4"/>
      <c r="I349" s="4"/>
      <c r="J349" s="4"/>
      <c r="K349" s="4" t="s">
        <v>817</v>
      </c>
      <c r="L349" s="4" t="s">
        <v>15</v>
      </c>
    </row>
    <row r="350" spans="1:12" ht="82.8" x14ac:dyDescent="0.3">
      <c r="A350" s="3">
        <v>246</v>
      </c>
      <c r="B350" s="7" t="s">
        <v>818</v>
      </c>
      <c r="C350" s="4" t="s">
        <v>803</v>
      </c>
      <c r="D350" s="4" t="s">
        <v>819</v>
      </c>
      <c r="E350" s="4" t="s">
        <v>31</v>
      </c>
      <c r="F350" s="4" t="s">
        <v>820</v>
      </c>
      <c r="G350" s="4"/>
      <c r="H350" s="4"/>
      <c r="I350" s="4"/>
      <c r="J350" s="4"/>
      <c r="K350" s="4" t="s">
        <v>15</v>
      </c>
      <c r="L350" s="4" t="s">
        <v>15</v>
      </c>
    </row>
    <row r="351" spans="1:12" ht="82.8" x14ac:dyDescent="0.3">
      <c r="A351" s="3">
        <v>247</v>
      </c>
      <c r="B351" s="7" t="s">
        <v>818</v>
      </c>
      <c r="C351" s="4" t="s">
        <v>803</v>
      </c>
      <c r="D351" s="4" t="s">
        <v>819</v>
      </c>
      <c r="E351" s="4" t="s">
        <v>57</v>
      </c>
      <c r="F351" s="4" t="s">
        <v>820</v>
      </c>
      <c r="G351" s="4"/>
      <c r="H351" s="4"/>
      <c r="I351" s="4"/>
      <c r="J351" s="4"/>
      <c r="K351" s="4" t="s">
        <v>15</v>
      </c>
      <c r="L351" s="4" t="s">
        <v>15</v>
      </c>
    </row>
    <row r="352" spans="1:12" ht="82.8" x14ac:dyDescent="0.3">
      <c r="A352" s="3">
        <v>248</v>
      </c>
      <c r="B352" s="7" t="s">
        <v>821</v>
      </c>
      <c r="C352" s="4" t="s">
        <v>803</v>
      </c>
      <c r="D352" s="4" t="s">
        <v>822</v>
      </c>
      <c r="E352" s="4" t="s">
        <v>31</v>
      </c>
      <c r="F352" s="4" t="s">
        <v>823</v>
      </c>
      <c r="G352" s="4"/>
      <c r="H352" s="4"/>
      <c r="I352" s="4"/>
      <c r="J352" s="4"/>
      <c r="K352" s="4" t="s">
        <v>15</v>
      </c>
      <c r="L352" s="4" t="s">
        <v>15</v>
      </c>
    </row>
    <row r="353" spans="1:12" ht="82.8" x14ac:dyDescent="0.3">
      <c r="A353" s="3">
        <v>249</v>
      </c>
      <c r="B353" s="7" t="s">
        <v>821</v>
      </c>
      <c r="C353" s="4" t="s">
        <v>803</v>
      </c>
      <c r="D353" s="4" t="s">
        <v>822</v>
      </c>
      <c r="E353" s="4" t="s">
        <v>57</v>
      </c>
      <c r="F353" s="4" t="s">
        <v>823</v>
      </c>
      <c r="G353" s="4"/>
      <c r="H353" s="4"/>
      <c r="I353" s="4"/>
      <c r="J353" s="4"/>
      <c r="K353" s="4" t="s">
        <v>15</v>
      </c>
      <c r="L353" s="4" t="s">
        <v>15</v>
      </c>
    </row>
    <row r="354" spans="1:12" ht="52.2" x14ac:dyDescent="0.3">
      <c r="A354" s="3">
        <v>250</v>
      </c>
      <c r="B354" s="7" t="s">
        <v>824</v>
      </c>
      <c r="C354" s="4" t="s">
        <v>803</v>
      </c>
      <c r="D354" s="4" t="s">
        <v>825</v>
      </c>
      <c r="E354" s="4" t="s">
        <v>31</v>
      </c>
      <c r="F354" s="4" t="s">
        <v>826</v>
      </c>
      <c r="G354" s="4"/>
      <c r="H354" s="4"/>
      <c r="I354" s="4"/>
      <c r="J354" s="4"/>
      <c r="K354" s="4" t="s">
        <v>15</v>
      </c>
      <c r="L354" s="4" t="s">
        <v>827</v>
      </c>
    </row>
    <row r="355" spans="1:12" ht="103.2" x14ac:dyDescent="0.3">
      <c r="A355" s="3">
        <v>251</v>
      </c>
      <c r="B355" s="7" t="s">
        <v>828</v>
      </c>
      <c r="C355" s="4" t="s">
        <v>803</v>
      </c>
      <c r="D355" s="4" t="s">
        <v>825</v>
      </c>
      <c r="E355" s="4" t="s">
        <v>31</v>
      </c>
      <c r="F355" s="4" t="s">
        <v>829</v>
      </c>
      <c r="G355" s="4"/>
      <c r="H355" s="4"/>
      <c r="I355" s="4"/>
      <c r="J355" s="4"/>
      <c r="K355" s="4" t="s">
        <v>15</v>
      </c>
      <c r="L355" s="4" t="s">
        <v>830</v>
      </c>
    </row>
    <row r="356" spans="1:12" ht="21.6" x14ac:dyDescent="0.3">
      <c r="A356" s="3" t="s">
        <v>15</v>
      </c>
      <c r="B356" s="4" t="s">
        <v>15</v>
      </c>
      <c r="C356" s="4" t="s">
        <v>831</v>
      </c>
      <c r="D356" s="4" t="s">
        <v>15</v>
      </c>
      <c r="E356" s="4" t="s">
        <v>15</v>
      </c>
      <c r="F356" s="4" t="s">
        <v>15</v>
      </c>
      <c r="G356" s="4"/>
      <c r="H356" s="4"/>
      <c r="I356" s="4"/>
      <c r="J356" s="4"/>
      <c r="K356" s="4" t="s">
        <v>15</v>
      </c>
      <c r="L356" s="4" t="s">
        <v>15</v>
      </c>
    </row>
    <row r="357" spans="1:12" x14ac:dyDescent="0.3">
      <c r="A357" s="3" t="s">
        <v>15</v>
      </c>
      <c r="B357" s="4" t="s">
        <v>15</v>
      </c>
      <c r="C357" s="4" t="s">
        <v>832</v>
      </c>
      <c r="D357" s="4" t="s">
        <v>15</v>
      </c>
      <c r="E357" s="4" t="s">
        <v>15</v>
      </c>
      <c r="F357" s="4" t="s">
        <v>15</v>
      </c>
      <c r="G357" s="4"/>
      <c r="H357" s="4"/>
      <c r="I357" s="4"/>
      <c r="J357" s="4"/>
      <c r="K357" s="4" t="s">
        <v>15</v>
      </c>
      <c r="L357" s="4" t="s">
        <v>15</v>
      </c>
    </row>
    <row r="358" spans="1:12" ht="21.6" x14ac:dyDescent="0.3">
      <c r="A358" s="3" t="s">
        <v>15</v>
      </c>
      <c r="B358" s="4" t="s">
        <v>15</v>
      </c>
      <c r="C358" s="4" t="s">
        <v>833</v>
      </c>
      <c r="D358" s="4" t="s">
        <v>15</v>
      </c>
      <c r="E358" s="4" t="s">
        <v>15</v>
      </c>
      <c r="F358" s="4" t="s">
        <v>15</v>
      </c>
      <c r="G358" s="4"/>
      <c r="H358" s="4"/>
      <c r="I358" s="4"/>
      <c r="J358" s="4"/>
      <c r="K358" s="4" t="s">
        <v>15</v>
      </c>
      <c r="L358" s="4" t="s">
        <v>15</v>
      </c>
    </row>
    <row r="359" spans="1:12" ht="21.6" x14ac:dyDescent="0.3">
      <c r="A359" s="3" t="s">
        <v>15</v>
      </c>
      <c r="B359" s="4" t="s">
        <v>15</v>
      </c>
      <c r="C359" s="4" t="s">
        <v>834</v>
      </c>
      <c r="D359" s="4" t="s">
        <v>15</v>
      </c>
      <c r="E359" s="4" t="s">
        <v>15</v>
      </c>
      <c r="F359" s="4" t="s">
        <v>15</v>
      </c>
      <c r="G359" s="4"/>
      <c r="H359" s="4"/>
      <c r="I359" s="4"/>
      <c r="J359" s="4"/>
      <c r="K359" s="6" t="s">
        <v>15</v>
      </c>
      <c r="L359" s="4" t="s">
        <v>15</v>
      </c>
    </row>
  </sheetData>
  <mergeCells count="137">
    <mergeCell ref="A2:A3"/>
    <mergeCell ref="B2:B3"/>
    <mergeCell ref="C2:C3"/>
    <mergeCell ref="D2:D3"/>
    <mergeCell ref="E2:E3"/>
    <mergeCell ref="F2:F3"/>
    <mergeCell ref="G278:G279"/>
    <mergeCell ref="H278:H279"/>
    <mergeCell ref="I278:I279"/>
    <mergeCell ref="G104:G106"/>
    <mergeCell ref="A241:A243"/>
    <mergeCell ref="C241:C243"/>
    <mergeCell ref="D241:D243"/>
    <mergeCell ref="E241:E243"/>
    <mergeCell ref="F241:F243"/>
    <mergeCell ref="G241:G243"/>
    <mergeCell ref="A104:A106"/>
    <mergeCell ref="B104:B106"/>
    <mergeCell ref="C104:C106"/>
    <mergeCell ref="D104:D106"/>
    <mergeCell ref="A278:A279"/>
    <mergeCell ref="B278:B279"/>
    <mergeCell ref="C278:C279"/>
    <mergeCell ref="D278:D279"/>
    <mergeCell ref="J278:J279"/>
    <mergeCell ref="L278:L279"/>
    <mergeCell ref="H241:H243"/>
    <mergeCell ref="I241:I243"/>
    <mergeCell ref="J241:J243"/>
    <mergeCell ref="I2:I3"/>
    <mergeCell ref="J2:J3"/>
    <mergeCell ref="K2:K3"/>
    <mergeCell ref="L2:L3"/>
    <mergeCell ref="H104:H106"/>
    <mergeCell ref="I104:I106"/>
    <mergeCell ref="J104:J106"/>
    <mergeCell ref="K104:K106"/>
    <mergeCell ref="L104:L106"/>
    <mergeCell ref="K241:K243"/>
    <mergeCell ref="L241:L243"/>
    <mergeCell ref="H288:H295"/>
    <mergeCell ref="I288:I295"/>
    <mergeCell ref="J288:J295"/>
    <mergeCell ref="L288:L295"/>
    <mergeCell ref="A280:A287"/>
    <mergeCell ref="B280:B287"/>
    <mergeCell ref="D280:D287"/>
    <mergeCell ref="G280:G287"/>
    <mergeCell ref="H280:H287"/>
    <mergeCell ref="I280:I287"/>
    <mergeCell ref="E278:E279"/>
    <mergeCell ref="F278:F279"/>
    <mergeCell ref="J296:J302"/>
    <mergeCell ref="L296:L302"/>
    <mergeCell ref="A303:A310"/>
    <mergeCell ref="B303:B310"/>
    <mergeCell ref="D303:D310"/>
    <mergeCell ref="G303:G310"/>
    <mergeCell ref="H303:H310"/>
    <mergeCell ref="I303:I310"/>
    <mergeCell ref="J303:J310"/>
    <mergeCell ref="L303:L310"/>
    <mergeCell ref="A296:A302"/>
    <mergeCell ref="B296:B302"/>
    <mergeCell ref="D296:D302"/>
    <mergeCell ref="G296:G302"/>
    <mergeCell ref="H296:H302"/>
    <mergeCell ref="I296:I302"/>
    <mergeCell ref="J280:J287"/>
    <mergeCell ref="L280:L287"/>
    <mergeCell ref="A288:A295"/>
    <mergeCell ref="B288:B295"/>
    <mergeCell ref="D288:D295"/>
    <mergeCell ref="G288:G295"/>
    <mergeCell ref="J311:J318"/>
    <mergeCell ref="L311:L318"/>
    <mergeCell ref="A319:A322"/>
    <mergeCell ref="B319:B322"/>
    <mergeCell ref="D319:D322"/>
    <mergeCell ref="E319:E322"/>
    <mergeCell ref="F319:F322"/>
    <mergeCell ref="G319:G322"/>
    <mergeCell ref="H319:H322"/>
    <mergeCell ref="I319:I322"/>
    <mergeCell ref="A311:A318"/>
    <mergeCell ref="B311:B318"/>
    <mergeCell ref="D311:D318"/>
    <mergeCell ref="G311:G318"/>
    <mergeCell ref="H311:H318"/>
    <mergeCell ref="I311:I318"/>
    <mergeCell ref="J319:J322"/>
    <mergeCell ref="K319:K322"/>
    <mergeCell ref="L319:L322"/>
    <mergeCell ref="I323:I326"/>
    <mergeCell ref="J323:J326"/>
    <mergeCell ref="K323:K326"/>
    <mergeCell ref="L323:L326"/>
    <mergeCell ref="A327:A328"/>
    <mergeCell ref="B327:B328"/>
    <mergeCell ref="C327:C328"/>
    <mergeCell ref="D327:D328"/>
    <mergeCell ref="E327:E328"/>
    <mergeCell ref="F327:F328"/>
    <mergeCell ref="A323:A326"/>
    <mergeCell ref="B323:B326"/>
    <mergeCell ref="D323:D326"/>
    <mergeCell ref="E323:E326"/>
    <mergeCell ref="F323:F326"/>
    <mergeCell ref="G323:G326"/>
    <mergeCell ref="H323:H326"/>
    <mergeCell ref="G327:G328"/>
    <mergeCell ref="H327:H328"/>
    <mergeCell ref="I327:I328"/>
    <mergeCell ref="J327:J328"/>
    <mergeCell ref="L327:L328"/>
    <mergeCell ref="G331:G332"/>
    <mergeCell ref="H331:H332"/>
    <mergeCell ref="I331:I332"/>
    <mergeCell ref="J331:J332"/>
    <mergeCell ref="L331:L332"/>
    <mergeCell ref="G329:G330"/>
    <mergeCell ref="H329:H330"/>
    <mergeCell ref="A331:A332"/>
    <mergeCell ref="B331:B332"/>
    <mergeCell ref="C331:C332"/>
    <mergeCell ref="D331:D332"/>
    <mergeCell ref="E331:E332"/>
    <mergeCell ref="F331:F332"/>
    <mergeCell ref="I329:I330"/>
    <mergeCell ref="J329:J330"/>
    <mergeCell ref="L329:L330"/>
    <mergeCell ref="A329:A330"/>
    <mergeCell ref="B329:B330"/>
    <mergeCell ref="C329:C330"/>
    <mergeCell ref="D329:D330"/>
    <mergeCell ref="E329:E330"/>
    <mergeCell ref="F329:F33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87A3A-EA73-4158-B443-01AA37E8906E}">
  <dimension ref="A1:AF287"/>
  <sheetViews>
    <sheetView topLeftCell="D2" workbookViewId="0">
      <selection activeCell="F2" sqref="F2"/>
    </sheetView>
  </sheetViews>
  <sheetFormatPr defaultColWidth="12.5546875" defaultRowHeight="13.8" x14ac:dyDescent="0.3"/>
  <cols>
    <col min="1" max="8" width="12.5546875" style="14"/>
    <col min="9" max="9" width="25.33203125" style="15" customWidth="1"/>
    <col min="10" max="10" width="11.88671875" style="15" customWidth="1"/>
    <col min="11" max="11" width="9.109375" style="14"/>
    <col min="12" max="12" width="13.88671875" style="14" customWidth="1"/>
    <col min="13" max="13" width="14.5546875" style="14" customWidth="1"/>
    <col min="14" max="14" width="13" style="14" customWidth="1"/>
    <col min="15" max="15" width="12" style="16" bestFit="1" customWidth="1"/>
    <col min="16" max="16" width="12" style="23" customWidth="1"/>
    <col min="17" max="18" width="12" style="16" customWidth="1"/>
    <col min="19" max="19" width="12" style="22" customWidth="1"/>
    <col min="20" max="21" width="12" style="16" customWidth="1"/>
    <col min="22" max="22" width="12.6640625" style="14" customWidth="1"/>
    <col min="23" max="23" width="9.109375" style="14"/>
    <col min="24" max="24" width="13.44140625" style="14" customWidth="1"/>
    <col min="25" max="25" width="10.109375" style="14" bestFit="1" customWidth="1"/>
    <col min="26" max="26" width="13.6640625" style="14" customWidth="1"/>
    <col min="27" max="27" width="12.88671875" style="14" bestFit="1" customWidth="1"/>
    <col min="28" max="28" width="13.44140625" style="14" customWidth="1"/>
    <col min="29" max="29" width="12" style="14" customWidth="1"/>
    <col min="30" max="16384" width="12.5546875" style="14"/>
  </cols>
  <sheetData>
    <row r="1" spans="1:32" s="18" customFormat="1" ht="42" customHeight="1" x14ac:dyDescent="0.3">
      <c r="A1" s="17" t="s">
        <v>835</v>
      </c>
      <c r="B1" s="86" t="s">
        <v>836</v>
      </c>
      <c r="C1" s="86"/>
      <c r="D1" s="86"/>
      <c r="E1" s="86"/>
      <c r="F1" s="86"/>
      <c r="G1" s="86"/>
      <c r="H1" s="87"/>
      <c r="I1" s="36" t="s">
        <v>837</v>
      </c>
      <c r="J1" s="85" t="s">
        <v>838</v>
      </c>
      <c r="K1" s="85"/>
      <c r="L1" s="85"/>
      <c r="M1" s="85"/>
      <c r="N1" s="85"/>
      <c r="O1" s="85"/>
      <c r="P1" s="85" t="s">
        <v>839</v>
      </c>
      <c r="Q1" s="85"/>
      <c r="R1" s="85"/>
      <c r="S1" s="85"/>
      <c r="T1" s="85"/>
      <c r="U1" s="85"/>
      <c r="V1" s="19" t="s">
        <v>1015</v>
      </c>
      <c r="W1" s="20"/>
      <c r="X1" s="20"/>
      <c r="Y1" s="20"/>
      <c r="Z1" s="20"/>
      <c r="AA1" s="20"/>
      <c r="AB1" s="20"/>
      <c r="AC1" s="20"/>
      <c r="AD1" s="20"/>
      <c r="AE1" s="20"/>
      <c r="AF1" s="21"/>
    </row>
    <row r="2" spans="1:32" ht="73.8" customHeight="1" x14ac:dyDescent="0.3">
      <c r="A2" s="33" t="s">
        <v>0</v>
      </c>
      <c r="B2" s="37" t="s">
        <v>840</v>
      </c>
      <c r="C2" s="38" t="s">
        <v>2</v>
      </c>
      <c r="D2" s="38" t="s">
        <v>3</v>
      </c>
      <c r="E2" s="38" t="s">
        <v>841</v>
      </c>
      <c r="F2" s="38" t="s">
        <v>842</v>
      </c>
      <c r="G2" s="38" t="s">
        <v>10</v>
      </c>
      <c r="H2" s="38" t="s">
        <v>11</v>
      </c>
      <c r="I2" s="39" t="s">
        <v>843</v>
      </c>
      <c r="J2" s="40" t="s">
        <v>844</v>
      </c>
      <c r="K2" s="39" t="s">
        <v>845</v>
      </c>
      <c r="L2" s="39" t="s">
        <v>846</v>
      </c>
      <c r="M2" s="39" t="s">
        <v>847</v>
      </c>
      <c r="N2" s="39" t="s">
        <v>848</v>
      </c>
      <c r="O2" s="41" t="s">
        <v>849</v>
      </c>
      <c r="P2" s="40" t="s">
        <v>844</v>
      </c>
      <c r="Q2" s="39" t="s">
        <v>845</v>
      </c>
      <c r="R2" s="39" t="s">
        <v>846</v>
      </c>
      <c r="S2" s="42" t="s">
        <v>847</v>
      </c>
      <c r="T2" s="39" t="s">
        <v>848</v>
      </c>
      <c r="U2" s="41" t="s">
        <v>849</v>
      </c>
      <c r="V2" s="40" t="s">
        <v>850</v>
      </c>
      <c r="W2" s="39" t="s">
        <v>851</v>
      </c>
      <c r="X2" s="39" t="s">
        <v>852</v>
      </c>
      <c r="Y2" s="39" t="s">
        <v>853</v>
      </c>
      <c r="Z2" s="39" t="s">
        <v>854</v>
      </c>
      <c r="AA2" s="39" t="s">
        <v>855</v>
      </c>
      <c r="AB2" s="39" t="s">
        <v>1014</v>
      </c>
      <c r="AC2" s="39" t="s">
        <v>856</v>
      </c>
      <c r="AD2" s="39" t="s">
        <v>857</v>
      </c>
      <c r="AE2" s="39" t="s">
        <v>858</v>
      </c>
      <c r="AF2" s="39" t="s">
        <v>859</v>
      </c>
    </row>
    <row r="3" spans="1:32" ht="96.6" x14ac:dyDescent="0.3">
      <c r="A3" s="34" t="s">
        <v>860</v>
      </c>
      <c r="B3" s="28" t="s">
        <v>278</v>
      </c>
      <c r="C3" s="28" t="s">
        <v>279</v>
      </c>
      <c r="D3" s="28" t="s">
        <v>24</v>
      </c>
      <c r="E3" s="66" t="s">
        <v>46</v>
      </c>
      <c r="F3" s="66" t="s">
        <v>279</v>
      </c>
      <c r="G3" s="66" t="s">
        <v>860</v>
      </c>
      <c r="H3" s="67" t="s">
        <v>15</v>
      </c>
      <c r="I3" s="68" t="str">
        <f>CONCATENATE("SUM(CASE WHEN (MCS.",F3," IN (' ', '~') OR MCS.",F3, " IS NULL) THEN 1 ELSE 0 END) AS ",F3,",")</f>
        <v>SUM(CASE WHEN (MCS.PTNT_CNTL_NUM IN (' ', '~') OR MCS.PTNT_CNTL_NUM IS NULL) THEN 1 ELSE 0 END) AS PTNT_CNTL_NUM,</v>
      </c>
      <c r="J3" s="66" t="s">
        <v>279</v>
      </c>
      <c r="K3" s="69"/>
      <c r="L3" s="69"/>
      <c r="M3" s="69"/>
      <c r="N3" s="69"/>
      <c r="O3" s="70"/>
      <c r="P3" s="66" t="s">
        <v>279</v>
      </c>
      <c r="Q3" s="70"/>
      <c r="R3" s="70"/>
      <c r="S3" s="71"/>
      <c r="T3" s="70"/>
      <c r="U3" s="70"/>
      <c r="V3" s="68"/>
      <c r="W3" s="69"/>
      <c r="X3" s="69"/>
      <c r="Y3" s="69"/>
      <c r="Z3" s="69"/>
      <c r="AA3" s="69"/>
      <c r="AB3" s="69"/>
      <c r="AC3" s="69"/>
      <c r="AD3" s="69"/>
      <c r="AE3" s="69"/>
      <c r="AF3" s="69"/>
    </row>
    <row r="4" spans="1:32" ht="96.6" x14ac:dyDescent="0.3">
      <c r="A4" s="34" t="s">
        <v>860</v>
      </c>
      <c r="B4" s="28" t="s">
        <v>286</v>
      </c>
      <c r="C4" s="28" t="s">
        <v>287</v>
      </c>
      <c r="D4" s="28" t="s">
        <v>24</v>
      </c>
      <c r="E4" s="66" t="s">
        <v>46</v>
      </c>
      <c r="F4" s="66" t="s">
        <v>287</v>
      </c>
      <c r="G4" s="66" t="s">
        <v>860</v>
      </c>
      <c r="H4" s="66" t="s">
        <v>860</v>
      </c>
      <c r="I4" s="68" t="str">
        <f>CONCATENATE("SUM(CASE WHEN (MCS.",F4," IN (' ', '~') OR MCS.",F4, " IS NULL) THEN 1 ELSE 0 END) AS ",F4,",")</f>
        <v>SUM(CASE WHEN (MCS.PRVDR_TXNMY_CD IN (' ', '~') OR MCS.PRVDR_TXNMY_CD IS NULL) THEN 1 ELSE 0 END) AS PRVDR_TXNMY_CD,</v>
      </c>
      <c r="J4" s="66" t="s">
        <v>287</v>
      </c>
      <c r="K4" s="69"/>
      <c r="L4" s="69"/>
      <c r="M4" s="69"/>
      <c r="N4" s="69"/>
      <c r="O4" s="70"/>
      <c r="P4" s="66" t="s">
        <v>287</v>
      </c>
      <c r="Q4" s="70"/>
      <c r="R4" s="70"/>
      <c r="S4" s="71"/>
      <c r="T4" s="70"/>
      <c r="U4" s="70"/>
      <c r="V4" s="68"/>
      <c r="W4" s="69"/>
      <c r="X4" s="69"/>
      <c r="Y4" s="69"/>
      <c r="Z4" s="69"/>
      <c r="AA4" s="69"/>
      <c r="AB4" s="69"/>
      <c r="AC4" s="69"/>
      <c r="AD4" s="69"/>
      <c r="AE4" s="69"/>
      <c r="AF4" s="69"/>
    </row>
    <row r="5" spans="1:32" ht="110.4" x14ac:dyDescent="0.3">
      <c r="A5" s="34" t="s">
        <v>860</v>
      </c>
      <c r="B5" s="28" t="s">
        <v>284</v>
      </c>
      <c r="C5" s="28" t="s">
        <v>285</v>
      </c>
      <c r="D5" s="28" t="s">
        <v>24</v>
      </c>
      <c r="E5" s="66" t="s">
        <v>46</v>
      </c>
      <c r="F5" s="66" t="s">
        <v>285</v>
      </c>
      <c r="G5" s="66" t="s">
        <v>860</v>
      </c>
      <c r="H5" s="66" t="s">
        <v>860</v>
      </c>
      <c r="I5" s="68" t="str">
        <f>CONCATENATE("SUM(CASE WHEN (MCS.",F5," IN (' ', '~') OR MCS.",F5, " IS NULL) THEN 1 ELSE 0 END) AS ",F5,",")</f>
        <v>SUM(CASE WHEN (MCS.PRVDR_SEC_SPCLTY_3_CD IN (' ', '~') OR MCS.PRVDR_SEC_SPCLTY_3_CD IS NULL) THEN 1 ELSE 0 END) AS PRVDR_SEC_SPCLTY_3_CD,</v>
      </c>
      <c r="J5" s="66" t="s">
        <v>285</v>
      </c>
      <c r="K5" s="69"/>
      <c r="L5" s="69"/>
      <c r="M5" s="69"/>
      <c r="N5" s="69"/>
      <c r="O5" s="70"/>
      <c r="P5" s="66" t="s">
        <v>285</v>
      </c>
      <c r="Q5" s="70"/>
      <c r="R5" s="70"/>
      <c r="S5" s="71"/>
      <c r="T5" s="70"/>
      <c r="U5" s="70"/>
      <c r="V5" s="68"/>
      <c r="W5" s="69"/>
      <c r="X5" s="69"/>
      <c r="Y5" s="69"/>
      <c r="Z5" s="69"/>
      <c r="AA5" s="69"/>
      <c r="AB5" s="69"/>
      <c r="AC5" s="69"/>
      <c r="AD5" s="69"/>
      <c r="AE5" s="69"/>
      <c r="AF5" s="69"/>
    </row>
    <row r="6" spans="1:32" ht="110.4" x14ac:dyDescent="0.3">
      <c r="A6" s="34" t="s">
        <v>860</v>
      </c>
      <c r="B6" s="28" t="s">
        <v>282</v>
      </c>
      <c r="C6" s="28" t="s">
        <v>283</v>
      </c>
      <c r="D6" s="28" t="s">
        <v>24</v>
      </c>
      <c r="E6" s="66" t="s">
        <v>46</v>
      </c>
      <c r="F6" s="66" t="s">
        <v>283</v>
      </c>
      <c r="G6" s="66" t="s">
        <v>860</v>
      </c>
      <c r="H6" s="66" t="s">
        <v>860</v>
      </c>
      <c r="I6" s="68" t="str">
        <f>CONCATENATE("SUM(CASE WHEN (MCS.",F6," IN (' ', '~') OR MCS.",F6, " IS NULL) THEN 1 ELSE 0 END) AS ",F6,",")</f>
        <v>SUM(CASE WHEN (MCS.PRVDR_SEC_SPCLTY_2_CD IN (' ', '~') OR MCS.PRVDR_SEC_SPCLTY_2_CD IS NULL) THEN 1 ELSE 0 END) AS PRVDR_SEC_SPCLTY_2_CD,</v>
      </c>
      <c r="J6" s="66" t="s">
        <v>283</v>
      </c>
      <c r="K6" s="69"/>
      <c r="L6" s="69"/>
      <c r="M6" s="69"/>
      <c r="N6" s="69"/>
      <c r="O6" s="70"/>
      <c r="P6" s="66" t="s">
        <v>283</v>
      </c>
      <c r="Q6" s="70"/>
      <c r="R6" s="70"/>
      <c r="S6" s="71"/>
      <c r="T6" s="70"/>
      <c r="U6" s="70"/>
      <c r="V6" s="68"/>
      <c r="W6" s="69"/>
      <c r="X6" s="69"/>
      <c r="Y6" s="69"/>
      <c r="Z6" s="69"/>
      <c r="AA6" s="69"/>
      <c r="AB6" s="69"/>
      <c r="AC6" s="69"/>
      <c r="AD6" s="69"/>
      <c r="AE6" s="69"/>
      <c r="AF6" s="69"/>
    </row>
    <row r="7" spans="1:32" ht="110.4" x14ac:dyDescent="0.3">
      <c r="A7" s="34" t="s">
        <v>860</v>
      </c>
      <c r="B7" s="28" t="s">
        <v>280</v>
      </c>
      <c r="C7" s="28" t="s">
        <v>281</v>
      </c>
      <c r="D7" s="28" t="s">
        <v>24</v>
      </c>
      <c r="E7" s="66" t="s">
        <v>46</v>
      </c>
      <c r="F7" s="66" t="s">
        <v>281</v>
      </c>
      <c r="G7" s="66" t="s">
        <v>860</v>
      </c>
      <c r="H7" s="66" t="s">
        <v>860</v>
      </c>
      <c r="I7" s="68" t="str">
        <f>CONCATENATE("SUM(CASE WHEN (MCS.",F7," IN (' ', '~') OR MCS.",F7, " IS NULL) THEN 1 ELSE 0 END) AS ",F7,",")</f>
        <v>SUM(CASE WHEN (MCS.PRVDR_SEC_SPCLTY_1_CD IN (' ', '~') OR MCS.PRVDR_SEC_SPCLTY_1_CD IS NULL) THEN 1 ELSE 0 END) AS PRVDR_SEC_SPCLTY_1_CD,</v>
      </c>
      <c r="J7" s="66" t="s">
        <v>281</v>
      </c>
      <c r="K7" s="69"/>
      <c r="L7" s="69"/>
      <c r="M7" s="69"/>
      <c r="N7" s="69"/>
      <c r="O7" s="70"/>
      <c r="P7" s="66" t="s">
        <v>281</v>
      </c>
      <c r="Q7" s="70"/>
      <c r="R7" s="70"/>
      <c r="S7" s="71"/>
      <c r="T7" s="70"/>
      <c r="U7" s="70"/>
      <c r="V7" s="68"/>
      <c r="W7" s="69"/>
      <c r="X7" s="69"/>
      <c r="Y7" s="69"/>
      <c r="Z7" s="69"/>
      <c r="AA7" s="69"/>
      <c r="AB7" s="69"/>
      <c r="AC7" s="69"/>
      <c r="AD7" s="69"/>
      <c r="AE7" s="69"/>
      <c r="AF7" s="69"/>
    </row>
    <row r="8" spans="1:32" ht="138" x14ac:dyDescent="0.3">
      <c r="A8" s="34">
        <v>126</v>
      </c>
      <c r="B8" s="28" t="s">
        <v>406</v>
      </c>
      <c r="C8" s="28" t="s">
        <v>407</v>
      </c>
      <c r="D8" s="43" t="s">
        <v>187</v>
      </c>
      <c r="E8" s="43" t="s">
        <v>57</v>
      </c>
      <c r="F8" s="43" t="s">
        <v>408</v>
      </c>
      <c r="G8" s="28" t="s">
        <v>860</v>
      </c>
      <c r="H8" s="44" t="s">
        <v>15</v>
      </c>
      <c r="I8" s="45" t="str">
        <f>CONCATENATE("SUM(CASE WHEN (MCS.",F8," IN (' ', '~') OR MCS.",F8, " IS NULL) THEN 1 ELSE 0 END) AS ",F8,",")</f>
        <v>SUM(CASE WHEN (MCS.PRVDR_RNDRNG_PRVDR_NPI_NUM IN (' ', '~') OR MCS.PRVDR_RNDRNG_PRVDR_NPI_NUM IS NULL) THEN 1 ELSE 0 END) AS PRVDR_RNDRNG_PRVDR_NPI_NUM,</v>
      </c>
      <c r="J8" s="43" t="s">
        <v>408</v>
      </c>
      <c r="K8" s="46" t="s">
        <v>861</v>
      </c>
      <c r="L8" s="46">
        <v>39835</v>
      </c>
      <c r="M8" s="46">
        <v>135351338</v>
      </c>
      <c r="N8" s="47">
        <f xml:space="preserve"> 1 -O8</f>
        <v>0.99970569186394009</v>
      </c>
      <c r="O8" s="48">
        <f>L8/M8</f>
        <v>2.9430813605994794E-4</v>
      </c>
      <c r="P8" s="43" t="s">
        <v>408</v>
      </c>
      <c r="Q8" s="48"/>
      <c r="R8" s="48"/>
      <c r="S8" s="54"/>
      <c r="T8" s="48"/>
      <c r="U8" s="48"/>
      <c r="V8" s="43" t="s">
        <v>408</v>
      </c>
      <c r="W8" s="46" t="s">
        <v>861</v>
      </c>
      <c r="X8" s="46" t="s">
        <v>861</v>
      </c>
      <c r="Y8" s="46">
        <v>4560</v>
      </c>
      <c r="Z8" s="46">
        <v>221308</v>
      </c>
      <c r="AA8" s="46">
        <v>191518</v>
      </c>
      <c r="AB8" s="46">
        <v>146028028</v>
      </c>
      <c r="AC8" s="47">
        <f>1 - AD8</f>
        <v>0.97619022755041307</v>
      </c>
      <c r="AD8" s="47">
        <f>Y8/AA8</f>
        <v>2.3809772449586986E-2</v>
      </c>
      <c r="AE8" s="47">
        <f>1 - AF8</f>
        <v>0.99848448271861889</v>
      </c>
      <c r="AF8" s="47">
        <f>Z8/AB8</f>
        <v>1.5155172813810785E-3</v>
      </c>
    </row>
    <row r="9" spans="1:32" ht="138" x14ac:dyDescent="0.3">
      <c r="A9" s="34">
        <v>127</v>
      </c>
      <c r="B9" s="28" t="s">
        <v>410</v>
      </c>
      <c r="C9" s="28" t="s">
        <v>411</v>
      </c>
      <c r="D9" s="43" t="s">
        <v>187</v>
      </c>
      <c r="E9" s="43" t="s">
        <v>57</v>
      </c>
      <c r="F9" s="43" t="s">
        <v>413</v>
      </c>
      <c r="G9" s="28" t="s">
        <v>860</v>
      </c>
      <c r="H9" s="44" t="s">
        <v>15</v>
      </c>
      <c r="I9" s="45" t="str">
        <f>CONCATENATE("SUM(CASE WHEN (MCS.",F9," IN (' ', '~') OR MCS.",F9, " IS NULL) THEN 1 ELSE 0 END) AS ",F9,",")</f>
        <v>SUM(CASE WHEN (MCS.PRVDR_RNDRNG_PRVDR_GRP_NPI_NUM IN (' ', '~') OR MCS.PRVDR_RNDRNG_PRVDR_GRP_NPI_NUM IS NULL) THEN 1 ELSE 0 END) AS PRVDR_RNDRNG_PRVDR_GRP_NPI_NUM,</v>
      </c>
      <c r="J9" s="43" t="s">
        <v>413</v>
      </c>
      <c r="K9" s="46" t="s">
        <v>862</v>
      </c>
      <c r="L9" s="46">
        <v>135351338</v>
      </c>
      <c r="M9" s="46">
        <v>135351338</v>
      </c>
      <c r="N9" s="47">
        <f xml:space="preserve"> 1 -O9</f>
        <v>0</v>
      </c>
      <c r="O9" s="48">
        <f>L9/M9</f>
        <v>1</v>
      </c>
      <c r="P9" s="43" t="s">
        <v>413</v>
      </c>
      <c r="Q9" s="48"/>
      <c r="R9" s="48"/>
      <c r="S9" s="54"/>
      <c r="T9" s="48"/>
      <c r="U9" s="48"/>
      <c r="V9" s="43" t="s">
        <v>413</v>
      </c>
      <c r="W9" s="46" t="s">
        <v>862</v>
      </c>
      <c r="X9" s="46" t="s">
        <v>862</v>
      </c>
      <c r="Y9" s="46">
        <v>191518</v>
      </c>
      <c r="Z9" s="46">
        <v>146028028</v>
      </c>
      <c r="AA9" s="46">
        <v>191518</v>
      </c>
      <c r="AB9" s="46">
        <v>146028028</v>
      </c>
      <c r="AC9" s="47">
        <f>1 - AD9</f>
        <v>0</v>
      </c>
      <c r="AD9" s="47">
        <f>Y9/AA9</f>
        <v>1</v>
      </c>
      <c r="AE9" s="47">
        <f>1 - AF9</f>
        <v>0</v>
      </c>
      <c r="AF9" s="47">
        <f>Z9/AB9</f>
        <v>1</v>
      </c>
    </row>
    <row r="10" spans="1:32" ht="110.4" x14ac:dyDescent="0.3">
      <c r="A10" s="34">
        <v>55</v>
      </c>
      <c r="B10" s="28" t="s">
        <v>185</v>
      </c>
      <c r="C10" s="28" t="s">
        <v>186</v>
      </c>
      <c r="D10" s="43" t="s">
        <v>187</v>
      </c>
      <c r="E10" s="28" t="s">
        <v>31</v>
      </c>
      <c r="F10" s="43" t="s">
        <v>188</v>
      </c>
      <c r="G10" s="28" t="s">
        <v>860</v>
      </c>
      <c r="H10" s="44" t="s">
        <v>15</v>
      </c>
      <c r="I10" s="45" t="str">
        <f>CONCATENATE("SUM(CASE WHEN ",F10," IN (' ', '~') OR ",F10, " IS NULL THEN 1 ELSE 0 END) AS ",F10,",")</f>
        <v>SUM(CASE WHEN PRVDR_RFRG_PRVDR_NPI_NUM IN (' ', '~') OR PRVDR_RFRG_PRVDR_NPI_NUM IS NULL THEN 1 ELSE 0 END) AS PRVDR_RFRG_PRVDR_NPI_NUM,</v>
      </c>
      <c r="J10" s="43" t="s">
        <v>188</v>
      </c>
      <c r="K10" s="46" t="s">
        <v>861</v>
      </c>
      <c r="L10" s="46">
        <v>13954613</v>
      </c>
      <c r="M10" s="46">
        <v>67078797</v>
      </c>
      <c r="N10" s="47">
        <f xml:space="preserve"> 1 -O10</f>
        <v>0.79196685653143128</v>
      </c>
      <c r="O10" s="48">
        <f>L10/M10</f>
        <v>0.20803314346856877</v>
      </c>
      <c r="P10" s="49" t="s">
        <v>188</v>
      </c>
      <c r="Q10" s="50"/>
      <c r="R10" s="51">
        <v>13965582</v>
      </c>
      <c r="S10" s="56">
        <v>67126071</v>
      </c>
      <c r="T10" s="48"/>
      <c r="U10" s="48"/>
      <c r="V10" s="43" t="s">
        <v>188</v>
      </c>
      <c r="W10" s="46" t="s">
        <v>861</v>
      </c>
      <c r="X10" s="46" t="s">
        <v>861</v>
      </c>
      <c r="Y10" s="46">
        <v>23018</v>
      </c>
      <c r="Z10" s="46">
        <v>15227784</v>
      </c>
      <c r="AA10" s="46">
        <v>89974</v>
      </c>
      <c r="AB10" s="46">
        <v>71615601</v>
      </c>
      <c r="AC10" s="47">
        <f>1 - AD10</f>
        <v>0.74417053815546708</v>
      </c>
      <c r="AD10" s="47">
        <f>Y10/AA10</f>
        <v>0.25582946184453287</v>
      </c>
      <c r="AE10" s="47">
        <f>1 - AF10</f>
        <v>0.78736778317338985</v>
      </c>
      <c r="AF10" s="47">
        <f>Z10/AB10</f>
        <v>0.21263221682661018</v>
      </c>
    </row>
    <row r="11" spans="1:32" ht="110.4" x14ac:dyDescent="0.3">
      <c r="A11" s="34">
        <v>89</v>
      </c>
      <c r="B11" s="28" t="s">
        <v>296</v>
      </c>
      <c r="C11" s="28" t="s">
        <v>297</v>
      </c>
      <c r="D11" s="43" t="s">
        <v>187</v>
      </c>
      <c r="E11" s="28" t="s">
        <v>31</v>
      </c>
      <c r="F11" s="43" t="s">
        <v>298</v>
      </c>
      <c r="G11" s="28" t="s">
        <v>860</v>
      </c>
      <c r="H11" s="44" t="s">
        <v>15</v>
      </c>
      <c r="I11" s="45" t="str">
        <f>CONCATENATE("SUM(CASE WHEN ",F11," IN (' ', '~') OR ",F11, " IS NULL THEN 1 ELSE 0 END) AS ",F11,",")</f>
        <v>SUM(CASE WHEN PRVDR_CPO_FAC_NPI_NUM IN (' ', '~') OR PRVDR_CPO_FAC_NPI_NUM IS NULL THEN 1 ELSE 0 END) AS PRVDR_CPO_FAC_NPI_NUM,</v>
      </c>
      <c r="J11" s="43" t="s">
        <v>298</v>
      </c>
      <c r="K11" s="46" t="s">
        <v>862</v>
      </c>
      <c r="L11" s="46">
        <v>67078797</v>
      </c>
      <c r="M11" s="46">
        <v>67078797</v>
      </c>
      <c r="N11" s="47">
        <f xml:space="preserve"> 1 -O11</f>
        <v>0</v>
      </c>
      <c r="O11" s="48">
        <f>L11/M11</f>
        <v>1</v>
      </c>
      <c r="P11" s="49" t="s">
        <v>298</v>
      </c>
      <c r="Q11" s="50"/>
      <c r="R11" s="51">
        <v>67126071</v>
      </c>
      <c r="S11" s="54"/>
      <c r="T11" s="48"/>
      <c r="U11" s="48"/>
      <c r="V11" s="43" t="s">
        <v>298</v>
      </c>
      <c r="W11" s="46" t="s">
        <v>862</v>
      </c>
      <c r="X11" s="46" t="s">
        <v>862</v>
      </c>
      <c r="Y11" s="46">
        <v>89974</v>
      </c>
      <c r="Z11" s="46">
        <v>71615601</v>
      </c>
      <c r="AA11" s="46">
        <v>89974</v>
      </c>
      <c r="AB11" s="46">
        <v>71615601</v>
      </c>
      <c r="AC11" s="47">
        <f>1 - AD11</f>
        <v>0</v>
      </c>
      <c r="AD11" s="47">
        <f>Y11/AA11</f>
        <v>1</v>
      </c>
      <c r="AE11" s="47">
        <f>1 - AF11</f>
        <v>0</v>
      </c>
      <c r="AF11" s="47">
        <f>Z11/AB11</f>
        <v>1</v>
      </c>
    </row>
    <row r="12" spans="1:32" ht="110.4" x14ac:dyDescent="0.3">
      <c r="A12" s="34">
        <v>92</v>
      </c>
      <c r="B12" s="43" t="s">
        <v>306</v>
      </c>
      <c r="C12" s="43" t="s">
        <v>307</v>
      </c>
      <c r="D12" s="43" t="s">
        <v>187</v>
      </c>
      <c r="E12" s="28" t="s">
        <v>31</v>
      </c>
      <c r="F12" s="43" t="s">
        <v>309</v>
      </c>
      <c r="G12" s="43" t="s">
        <v>860</v>
      </c>
      <c r="H12" s="44" t="s">
        <v>15</v>
      </c>
      <c r="I12" s="45" t="str">
        <f>CONCATENATE("SUM(CASE WHEN ",F12," IN (' ', '~') OR ",F12, " IS NULL THEN 1 ELSE 0 END) AS ",F12,",")</f>
        <v>SUM(CASE WHEN PRVDR_BLG_PRVDR_NPI_NUM IN (' ', '~') OR PRVDR_BLG_PRVDR_NPI_NUM IS NULL THEN 1 ELSE 0 END) AS PRVDR_BLG_PRVDR_NPI_NUM,</v>
      </c>
      <c r="J12" s="43" t="s">
        <v>309</v>
      </c>
      <c r="K12" s="46" t="s">
        <v>861</v>
      </c>
      <c r="L12" s="46">
        <v>9081</v>
      </c>
      <c r="M12" s="46">
        <v>67078797</v>
      </c>
      <c r="N12" s="47">
        <f xml:space="preserve"> 1 -O12</f>
        <v>0.99986462190131409</v>
      </c>
      <c r="O12" s="48">
        <f>L12/M12</f>
        <v>1.3537809868593797E-4</v>
      </c>
      <c r="P12" s="49" t="s">
        <v>309</v>
      </c>
      <c r="Q12" s="50"/>
      <c r="R12" s="51">
        <v>9131</v>
      </c>
      <c r="S12" s="54"/>
      <c r="T12" s="48"/>
      <c r="U12" s="48"/>
      <c r="V12" s="43" t="s">
        <v>309</v>
      </c>
      <c r="W12" s="46" t="s">
        <v>861</v>
      </c>
      <c r="X12" s="46" t="s">
        <v>861</v>
      </c>
      <c r="Y12" s="46">
        <v>2230</v>
      </c>
      <c r="Z12" s="46">
        <v>164195</v>
      </c>
      <c r="AA12" s="46">
        <v>89974</v>
      </c>
      <c r="AB12" s="46">
        <v>71615601</v>
      </c>
      <c r="AC12" s="47">
        <f>1 - AD12</f>
        <v>0.97521506212905951</v>
      </c>
      <c r="AD12" s="47">
        <f>Y12/AA12</f>
        <v>2.4784937870940493E-2</v>
      </c>
      <c r="AE12" s="47">
        <f>1 - AF12</f>
        <v>0.9977072733076694</v>
      </c>
      <c r="AF12" s="47">
        <f>Z12/AB12</f>
        <v>2.2927266923306279E-3</v>
      </c>
    </row>
    <row r="13" spans="1:32" ht="96.6" x14ac:dyDescent="0.3">
      <c r="A13" s="34">
        <v>13</v>
      </c>
      <c r="B13" s="28" t="s">
        <v>44</v>
      </c>
      <c r="C13" s="28" t="s">
        <v>45</v>
      </c>
      <c r="D13" s="28" t="s">
        <v>24</v>
      </c>
      <c r="E13" s="66" t="s">
        <v>46</v>
      </c>
      <c r="F13" s="66" t="s">
        <v>47</v>
      </c>
      <c r="G13" s="67" t="s">
        <v>15</v>
      </c>
      <c r="H13" s="67" t="s">
        <v>15</v>
      </c>
      <c r="I13" s="68" t="str">
        <f>CONCATENATE("SUM(CASE WHEN (MCS.",F13," IN (' ', '~') OR MCS.",F13, " IS NULL) THEN 1 ELSE 0 END) AS ",F13,",")</f>
        <v>SUM(CASE WHEN (MCS.NCH_STATE_SGMT_CD IN (' ', '~') OR MCS.NCH_STATE_SGMT_CD IS NULL) THEN 1 ELSE 0 END) AS NCH_STATE_SGMT_CD,</v>
      </c>
      <c r="J13" s="66" t="s">
        <v>47</v>
      </c>
      <c r="K13" s="69"/>
      <c r="L13" s="69"/>
      <c r="M13" s="69"/>
      <c r="N13" s="69"/>
      <c r="O13" s="70"/>
      <c r="P13" s="66" t="s">
        <v>47</v>
      </c>
      <c r="Q13" s="70"/>
      <c r="R13" s="70"/>
      <c r="S13" s="71"/>
      <c r="T13" s="70"/>
      <c r="U13" s="70"/>
      <c r="V13" s="68"/>
      <c r="W13" s="69"/>
      <c r="X13" s="69"/>
      <c r="Y13" s="69"/>
      <c r="Z13" s="69"/>
      <c r="AA13" s="69"/>
      <c r="AB13" s="69"/>
      <c r="AC13" s="69"/>
      <c r="AD13" s="69"/>
      <c r="AE13" s="69"/>
      <c r="AF13" s="69"/>
    </row>
    <row r="14" spans="1:32" ht="110.4" x14ac:dyDescent="0.3">
      <c r="A14" s="34">
        <v>248</v>
      </c>
      <c r="B14" s="43" t="s">
        <v>821</v>
      </c>
      <c r="C14" s="28" t="s">
        <v>803</v>
      </c>
      <c r="D14" s="28" t="s">
        <v>822</v>
      </c>
      <c r="E14" s="28" t="s">
        <v>31</v>
      </c>
      <c r="F14" s="28" t="s">
        <v>823</v>
      </c>
      <c r="G14" s="44" t="s">
        <v>15</v>
      </c>
      <c r="H14" s="44" t="s">
        <v>15</v>
      </c>
      <c r="I14" s="45" t="str">
        <f>CONCATENATE("SUM(CASE WHEN (",F14, " IS NULL) THEN 1 ELSE 0 END) AS ",F14,",")</f>
        <v>SUM(CASE WHEN (META_LST_UPDT_SRC_SK IS NULL) THEN 1 ELSE 0 END) AS META_LST_UPDT_SRC_SK,</v>
      </c>
      <c r="J14" s="28" t="s">
        <v>823</v>
      </c>
      <c r="K14" s="46" t="s">
        <v>861</v>
      </c>
      <c r="L14" s="46">
        <v>0</v>
      </c>
      <c r="M14" s="46">
        <v>67078797</v>
      </c>
      <c r="N14" s="47">
        <f xml:space="preserve"> 1 -O14</f>
        <v>1</v>
      </c>
      <c r="O14" s="48">
        <f>L14/M14</f>
        <v>0</v>
      </c>
      <c r="P14" s="49" t="s">
        <v>823</v>
      </c>
      <c r="Q14" s="50"/>
      <c r="R14" s="51">
        <v>0</v>
      </c>
      <c r="S14" s="54"/>
      <c r="T14" s="48"/>
      <c r="U14" s="48"/>
      <c r="V14" s="43" t="s">
        <v>823</v>
      </c>
      <c r="W14" s="46" t="s">
        <v>861</v>
      </c>
      <c r="X14" s="46" t="s">
        <v>861</v>
      </c>
      <c r="Y14" s="46">
        <v>0</v>
      </c>
      <c r="Z14" s="46">
        <v>0</v>
      </c>
      <c r="AA14" s="46">
        <v>89974</v>
      </c>
      <c r="AB14" s="46">
        <v>71615601</v>
      </c>
      <c r="AC14" s="47">
        <f>1 - AD14</f>
        <v>1</v>
      </c>
      <c r="AD14" s="47">
        <f>Y14/AA14</f>
        <v>0</v>
      </c>
      <c r="AE14" s="47">
        <f>1 - AF14</f>
        <v>1</v>
      </c>
      <c r="AF14" s="47">
        <f>Z14/AB14</f>
        <v>0</v>
      </c>
    </row>
    <row r="15" spans="1:32" ht="110.4" x14ac:dyDescent="0.3">
      <c r="A15" s="34">
        <v>249</v>
      </c>
      <c r="B15" s="43" t="s">
        <v>821</v>
      </c>
      <c r="C15" s="28" t="s">
        <v>803</v>
      </c>
      <c r="D15" s="28" t="s">
        <v>822</v>
      </c>
      <c r="E15" s="28" t="s">
        <v>57</v>
      </c>
      <c r="F15" s="28" t="s">
        <v>823</v>
      </c>
      <c r="G15" s="44" t="s">
        <v>15</v>
      </c>
      <c r="H15" s="44" t="s">
        <v>15</v>
      </c>
      <c r="I15" s="45" t="str">
        <f>CONCATENATE("SUM(CASE WHEN (MCS.",F15, " IS NULL) THEN 1 ELSE 0 END) AS ",F15,",")</f>
        <v>SUM(CASE WHEN (MCS.META_LST_UPDT_SRC_SK IS NULL) THEN 1 ELSE 0 END) AS META_LST_UPDT_SRC_SK,</v>
      </c>
      <c r="J15" s="28" t="s">
        <v>823</v>
      </c>
      <c r="K15" s="46" t="s">
        <v>861</v>
      </c>
      <c r="L15" s="46">
        <v>0</v>
      </c>
      <c r="M15" s="46">
        <v>135351338</v>
      </c>
      <c r="N15" s="47">
        <f xml:space="preserve"> 1 -O15</f>
        <v>1</v>
      </c>
      <c r="O15" s="48">
        <f>L15/M15</f>
        <v>0</v>
      </c>
      <c r="P15" s="28" t="s">
        <v>823</v>
      </c>
      <c r="Q15" s="48"/>
      <c r="R15" s="48"/>
      <c r="S15" s="54"/>
      <c r="T15" s="48"/>
      <c r="U15" s="48"/>
      <c r="V15" s="43" t="s">
        <v>823</v>
      </c>
      <c r="W15" s="46" t="s">
        <v>861</v>
      </c>
      <c r="X15" s="46" t="s">
        <v>861</v>
      </c>
      <c r="Y15" s="46">
        <v>0</v>
      </c>
      <c r="Z15" s="46">
        <v>0</v>
      </c>
      <c r="AA15" s="46">
        <v>191518</v>
      </c>
      <c r="AB15" s="46">
        <v>146028028</v>
      </c>
      <c r="AC15" s="47">
        <f>1 - AD15</f>
        <v>1</v>
      </c>
      <c r="AD15" s="47">
        <f>Y15/AA15</f>
        <v>0</v>
      </c>
      <c r="AE15" s="47">
        <f>1 - AF15</f>
        <v>1</v>
      </c>
      <c r="AF15" s="47">
        <f>Z15/AB15</f>
        <v>0</v>
      </c>
    </row>
    <row r="16" spans="1:32" ht="110.4" x14ac:dyDescent="0.3">
      <c r="A16" s="34">
        <v>246</v>
      </c>
      <c r="B16" s="43" t="s">
        <v>818</v>
      </c>
      <c r="C16" s="28" t="s">
        <v>803</v>
      </c>
      <c r="D16" s="28" t="s">
        <v>819</v>
      </c>
      <c r="E16" s="28" t="s">
        <v>31</v>
      </c>
      <c r="F16" s="28" t="s">
        <v>820</v>
      </c>
      <c r="G16" s="44" t="s">
        <v>15</v>
      </c>
      <c r="H16" s="44" t="s">
        <v>15</v>
      </c>
      <c r="I16" s="45" t="str">
        <f>CONCATENATE("SUM(CASE WHEN (",F16, " IS NULL) THEN 1 ELSE 0 END) AS ",F16,",")</f>
        <v>SUM(CASE WHEN (META_LST_UPDT_SK IS NULL) THEN 1 ELSE 0 END) AS META_LST_UPDT_SK,</v>
      </c>
      <c r="J16" s="28" t="s">
        <v>820</v>
      </c>
      <c r="K16" s="46" t="s">
        <v>861</v>
      </c>
      <c r="L16" s="46">
        <v>0</v>
      </c>
      <c r="M16" s="46">
        <v>67078797</v>
      </c>
      <c r="N16" s="47">
        <f xml:space="preserve"> 1 -O16</f>
        <v>1</v>
      </c>
      <c r="O16" s="48">
        <f>L16/M16</f>
        <v>0</v>
      </c>
      <c r="P16" s="49" t="s">
        <v>820</v>
      </c>
      <c r="Q16" s="50"/>
      <c r="R16" s="51">
        <v>0</v>
      </c>
      <c r="S16" s="54"/>
      <c r="T16" s="48"/>
      <c r="U16" s="48"/>
      <c r="V16" s="43" t="s">
        <v>820</v>
      </c>
      <c r="W16" s="46" t="s">
        <v>861</v>
      </c>
      <c r="X16" s="46" t="s">
        <v>861</v>
      </c>
      <c r="Y16" s="46">
        <v>0</v>
      </c>
      <c r="Z16" s="46">
        <v>0</v>
      </c>
      <c r="AA16" s="46">
        <v>89974</v>
      </c>
      <c r="AB16" s="46">
        <v>71615601</v>
      </c>
      <c r="AC16" s="47">
        <f>1 - AD16</f>
        <v>1</v>
      </c>
      <c r="AD16" s="47">
        <f>Y16/AA16</f>
        <v>0</v>
      </c>
      <c r="AE16" s="47">
        <f>1 - AF16</f>
        <v>1</v>
      </c>
      <c r="AF16" s="47">
        <f>Z16/AB16</f>
        <v>0</v>
      </c>
    </row>
    <row r="17" spans="1:32" ht="110.4" x14ac:dyDescent="0.3">
      <c r="A17" s="34">
        <v>247</v>
      </c>
      <c r="B17" s="43" t="s">
        <v>818</v>
      </c>
      <c r="C17" s="28" t="s">
        <v>803</v>
      </c>
      <c r="D17" s="28" t="s">
        <v>819</v>
      </c>
      <c r="E17" s="28" t="s">
        <v>57</v>
      </c>
      <c r="F17" s="28" t="s">
        <v>820</v>
      </c>
      <c r="G17" s="44" t="s">
        <v>15</v>
      </c>
      <c r="H17" s="44" t="s">
        <v>15</v>
      </c>
      <c r="I17" s="45" t="str">
        <f>CONCATENATE("SUM(CASE WHEN (MCS.",F17, " IS NULL) THEN 1 ELSE 0 END) AS ",F17,",")</f>
        <v>SUM(CASE WHEN (MCS.META_LST_UPDT_SK IS NULL) THEN 1 ELSE 0 END) AS META_LST_UPDT_SK,</v>
      </c>
      <c r="J17" s="28" t="s">
        <v>820</v>
      </c>
      <c r="K17" s="46" t="s">
        <v>861</v>
      </c>
      <c r="L17" s="46">
        <v>0</v>
      </c>
      <c r="M17" s="46">
        <v>135351338</v>
      </c>
      <c r="N17" s="47">
        <f xml:space="preserve"> 1 -O17</f>
        <v>1</v>
      </c>
      <c r="O17" s="48">
        <f>L17/M17</f>
        <v>0</v>
      </c>
      <c r="P17" s="28" t="s">
        <v>820</v>
      </c>
      <c r="Q17" s="48"/>
      <c r="R17" s="48"/>
      <c r="S17" s="54"/>
      <c r="T17" s="48"/>
      <c r="U17" s="48"/>
      <c r="V17" s="43" t="s">
        <v>820</v>
      </c>
      <c r="W17" s="46" t="s">
        <v>861</v>
      </c>
      <c r="X17" s="46" t="s">
        <v>861</v>
      </c>
      <c r="Y17" s="46">
        <v>0</v>
      </c>
      <c r="Z17" s="46">
        <v>0</v>
      </c>
      <c r="AA17" s="46">
        <v>191518</v>
      </c>
      <c r="AB17" s="46">
        <v>146028028</v>
      </c>
      <c r="AC17" s="47">
        <f>1 - AD17</f>
        <v>1</v>
      </c>
      <c r="AD17" s="47">
        <f>Y17/AA17</f>
        <v>0</v>
      </c>
      <c r="AE17" s="47">
        <f>1 - AF17</f>
        <v>1</v>
      </c>
      <c r="AF17" s="47">
        <f>Z17/AB17</f>
        <v>0</v>
      </c>
    </row>
    <row r="18" spans="1:32" ht="69" x14ac:dyDescent="0.3">
      <c r="A18" s="34">
        <v>83</v>
      </c>
      <c r="B18" s="43" t="s">
        <v>263</v>
      </c>
      <c r="C18" s="43" t="s">
        <v>264</v>
      </c>
      <c r="D18" s="43" t="s">
        <v>24</v>
      </c>
      <c r="E18" s="72" t="s">
        <v>265</v>
      </c>
      <c r="F18" s="72" t="s">
        <v>264</v>
      </c>
      <c r="G18" s="72" t="s">
        <v>860</v>
      </c>
      <c r="H18" s="67" t="s">
        <v>15</v>
      </c>
      <c r="I18" s="68" t="str">
        <f>CONCATENATE("SUM(CASE WHEN (MCS.",F18," IN (' ', '~') OR MCS.",F18, " IS NULL) THEN 1 ELSE 0 END) AS ",F18,",")</f>
        <v>SUM(CASE WHEN (MCS.MBI_ID IN (' ', '~') OR MCS.MBI_ID IS NULL) THEN 1 ELSE 0 END) AS MBI_ID,</v>
      </c>
      <c r="J18" s="72" t="s">
        <v>264</v>
      </c>
      <c r="K18" s="69"/>
      <c r="L18" s="69"/>
      <c r="M18" s="69"/>
      <c r="N18" s="69"/>
      <c r="O18" s="70"/>
      <c r="P18" s="72" t="s">
        <v>264</v>
      </c>
      <c r="Q18" s="70"/>
      <c r="R18" s="70"/>
      <c r="S18" s="71"/>
      <c r="T18" s="70"/>
      <c r="U18" s="70"/>
      <c r="V18" s="68"/>
      <c r="W18" s="69"/>
      <c r="X18" s="69"/>
      <c r="Y18" s="69"/>
      <c r="Z18" s="69"/>
      <c r="AA18" s="69"/>
      <c r="AB18" s="69"/>
      <c r="AC18" s="69"/>
      <c r="AD18" s="69"/>
      <c r="AE18" s="69"/>
      <c r="AF18" s="69"/>
    </row>
    <row r="19" spans="1:32" ht="110.4" x14ac:dyDescent="0.3">
      <c r="A19" s="34">
        <v>238</v>
      </c>
      <c r="B19" s="28" t="s">
        <v>780</v>
      </c>
      <c r="C19" s="28" t="s">
        <v>781</v>
      </c>
      <c r="D19" s="28" t="s">
        <v>24</v>
      </c>
      <c r="E19" s="66" t="s">
        <v>46</v>
      </c>
      <c r="F19" s="66" t="s">
        <v>781</v>
      </c>
      <c r="G19" s="66" t="s">
        <v>782</v>
      </c>
      <c r="H19" s="66" t="s">
        <v>860</v>
      </c>
      <c r="I19" s="68" t="str">
        <f>CONCATENATE("SUM(CASE WHEN (MCS.",F19," IN (' ', '~') OR MCS.",F19, " IS NULL) THEN 1 ELSE 0 END) AS ",F19,",")</f>
        <v>SUM(CASE WHEN (MCS.LINE_VLNTRY_SRVC_IND_CD IN (' ', '~') OR MCS.LINE_VLNTRY_SRVC_IND_CD IS NULL) THEN 1 ELSE 0 END) AS LINE_VLNTRY_SRVC_IND_CD,</v>
      </c>
      <c r="J19" s="66" t="s">
        <v>781</v>
      </c>
      <c r="K19" s="69"/>
      <c r="L19" s="69"/>
      <c r="M19" s="69"/>
      <c r="N19" s="69"/>
      <c r="O19" s="70"/>
      <c r="P19" s="66" t="s">
        <v>781</v>
      </c>
      <c r="Q19" s="70"/>
      <c r="R19" s="70"/>
      <c r="S19" s="71"/>
      <c r="T19" s="70"/>
      <c r="U19" s="70"/>
      <c r="V19" s="68"/>
      <c r="W19" s="69"/>
      <c r="X19" s="69"/>
      <c r="Y19" s="69"/>
      <c r="Z19" s="69"/>
      <c r="AA19" s="69"/>
      <c r="AB19" s="69"/>
      <c r="AC19" s="69"/>
      <c r="AD19" s="69"/>
      <c r="AE19" s="69"/>
      <c r="AF19" s="69"/>
    </row>
    <row r="20" spans="1:32" ht="138" x14ac:dyDescent="0.3">
      <c r="A20" s="34" t="s">
        <v>860</v>
      </c>
      <c r="B20" s="28" t="s">
        <v>795</v>
      </c>
      <c r="C20" s="28" t="s">
        <v>796</v>
      </c>
      <c r="D20" s="28" t="s">
        <v>24</v>
      </c>
      <c r="E20" s="66" t="s">
        <v>46</v>
      </c>
      <c r="F20" s="66" t="s">
        <v>796</v>
      </c>
      <c r="G20" s="66" t="s">
        <v>792</v>
      </c>
      <c r="H20" s="66" t="s">
        <v>860</v>
      </c>
      <c r="I20" s="68" t="str">
        <f>CONCATENATE("SUM(CASE WHEN (MCS.",F20," IN (' ', '~') OR MCS.",F20, " IS NULL) THEN 1 ELSE 0 END) AS ",F20,",")</f>
        <v>SUM(CASE WHEN (MCS.LINE_RNDRNG_SEC_SPCLTY_3_CD IN (' ', '~') OR MCS.LINE_RNDRNG_SEC_SPCLTY_3_CD IS NULL) THEN 1 ELSE 0 END) AS LINE_RNDRNG_SEC_SPCLTY_3_CD,</v>
      </c>
      <c r="J20" s="66" t="s">
        <v>796</v>
      </c>
      <c r="K20" s="69"/>
      <c r="L20" s="69"/>
      <c r="M20" s="69"/>
      <c r="N20" s="69"/>
      <c r="O20" s="70"/>
      <c r="P20" s="66" t="s">
        <v>796</v>
      </c>
      <c r="Q20" s="70"/>
      <c r="R20" s="70"/>
      <c r="S20" s="71"/>
      <c r="T20" s="70"/>
      <c r="U20" s="70"/>
      <c r="V20" s="68"/>
      <c r="W20" s="69"/>
      <c r="X20" s="69"/>
      <c r="Y20" s="69"/>
      <c r="Z20" s="69"/>
      <c r="AA20" s="69"/>
      <c r="AB20" s="69"/>
      <c r="AC20" s="69"/>
      <c r="AD20" s="69"/>
      <c r="AE20" s="69"/>
      <c r="AF20" s="69"/>
    </row>
    <row r="21" spans="1:32" ht="110.4" x14ac:dyDescent="0.3">
      <c r="A21" s="34" t="s">
        <v>860</v>
      </c>
      <c r="B21" s="28" t="s">
        <v>793</v>
      </c>
      <c r="C21" s="28" t="s">
        <v>794</v>
      </c>
      <c r="D21" s="28" t="s">
        <v>24</v>
      </c>
      <c r="E21" s="66" t="s">
        <v>46</v>
      </c>
      <c r="F21" s="66" t="s">
        <v>794</v>
      </c>
      <c r="G21" s="66" t="s">
        <v>792</v>
      </c>
      <c r="H21" s="66" t="s">
        <v>860</v>
      </c>
      <c r="I21" s="68" t="str">
        <f>CONCATENATE("SUM(CASE WHEN (",F21," IN (' ', '~') OR ",F21, " IS NULL) THEN 1 ELSE 0 END) AS ",F21,",")</f>
        <v>SUM(CASE WHEN (LINE_RNDRNG_SEC_SPCLTY_2_CD IN (' ', '~') OR LINE_RNDRNG_SEC_SPCLTY_2_CD IS NULL) THEN 1 ELSE 0 END) AS LINE_RNDRNG_SEC_SPCLTY_2_CD,</v>
      </c>
      <c r="J21" s="66" t="s">
        <v>794</v>
      </c>
      <c r="K21" s="69"/>
      <c r="L21" s="69"/>
      <c r="M21" s="69"/>
      <c r="N21" s="69"/>
      <c r="O21" s="70"/>
      <c r="P21" s="66" t="s">
        <v>794</v>
      </c>
      <c r="Q21" s="70"/>
      <c r="R21" s="70"/>
      <c r="S21" s="71"/>
      <c r="T21" s="70"/>
      <c r="U21" s="70"/>
      <c r="V21" s="68"/>
      <c r="W21" s="69"/>
      <c r="X21" s="69"/>
      <c r="Y21" s="69"/>
      <c r="Z21" s="69"/>
      <c r="AA21" s="69"/>
      <c r="AB21" s="69"/>
      <c r="AC21" s="69"/>
      <c r="AD21" s="69"/>
      <c r="AE21" s="69"/>
      <c r="AF21" s="69"/>
    </row>
    <row r="22" spans="1:32" ht="138" x14ac:dyDescent="0.3">
      <c r="A22" s="34" t="s">
        <v>860</v>
      </c>
      <c r="B22" s="28" t="s">
        <v>790</v>
      </c>
      <c r="C22" s="28" t="s">
        <v>791</v>
      </c>
      <c r="D22" s="28" t="s">
        <v>24</v>
      </c>
      <c r="E22" s="66" t="s">
        <v>46</v>
      </c>
      <c r="F22" s="66" t="s">
        <v>791</v>
      </c>
      <c r="G22" s="66" t="s">
        <v>792</v>
      </c>
      <c r="H22" s="66" t="s">
        <v>860</v>
      </c>
      <c r="I22" s="68" t="str">
        <f>CONCATENATE("SUM(CASE WHEN (MCS.",F22," IN (' ', '~') OR MCS.",F22, " IS NULL) THEN 1 ELSE 0 END) AS ",F22,",")</f>
        <v>SUM(CASE WHEN (MCS.LINE_RNDRNG_SEC_SPCLTY_1_CD IN (' ', '~') OR MCS.LINE_RNDRNG_SEC_SPCLTY_1_CD IS NULL) THEN 1 ELSE 0 END) AS LINE_RNDRNG_SEC_SPCLTY_1_CD,</v>
      </c>
      <c r="J22" s="66" t="s">
        <v>791</v>
      </c>
      <c r="K22" s="69"/>
      <c r="L22" s="69"/>
      <c r="M22" s="69"/>
      <c r="N22" s="69"/>
      <c r="O22" s="70"/>
      <c r="P22" s="66" t="s">
        <v>791</v>
      </c>
      <c r="Q22" s="70"/>
      <c r="R22" s="70"/>
      <c r="S22" s="71"/>
      <c r="T22" s="70"/>
      <c r="U22" s="70"/>
      <c r="V22" s="68"/>
      <c r="W22" s="69"/>
      <c r="X22" s="69"/>
      <c r="Y22" s="69"/>
      <c r="Z22" s="69"/>
      <c r="AA22" s="69"/>
      <c r="AB22" s="69"/>
      <c r="AC22" s="69"/>
      <c r="AD22" s="69"/>
      <c r="AE22" s="69"/>
      <c r="AF22" s="69"/>
    </row>
    <row r="23" spans="1:32" ht="138" x14ac:dyDescent="0.3">
      <c r="A23" s="34" t="s">
        <v>860</v>
      </c>
      <c r="B23" s="28" t="s">
        <v>797</v>
      </c>
      <c r="C23" s="28" t="s">
        <v>798</v>
      </c>
      <c r="D23" s="28" t="s">
        <v>24</v>
      </c>
      <c r="E23" s="66" t="s">
        <v>46</v>
      </c>
      <c r="F23" s="66" t="s">
        <v>798</v>
      </c>
      <c r="G23" s="66" t="s">
        <v>792</v>
      </c>
      <c r="H23" s="66" t="s">
        <v>860</v>
      </c>
      <c r="I23" s="68" t="str">
        <f>CONCATENATE("SUM(CASE WHEN (MCS.",F23," IN (' ', '~') OR MCS.",F23, " IS NULL) THEN 1 ELSE 0 END) AS ",F23,",")</f>
        <v>SUM(CASE WHEN (MCS.LINE_RNDRNG_PRVDR_TXNMY_CD IN (' ', '~') OR MCS.LINE_RNDRNG_PRVDR_TXNMY_CD IS NULL) THEN 1 ELSE 0 END) AS LINE_RNDRNG_PRVDR_TXNMY_CD,</v>
      </c>
      <c r="J23" s="66" t="s">
        <v>798</v>
      </c>
      <c r="K23" s="69"/>
      <c r="L23" s="69"/>
      <c r="M23" s="69"/>
      <c r="N23" s="69"/>
      <c r="O23" s="70"/>
      <c r="P23" s="66" t="s">
        <v>798</v>
      </c>
      <c r="Q23" s="70"/>
      <c r="R23" s="70"/>
      <c r="S23" s="71"/>
      <c r="T23" s="70"/>
      <c r="U23" s="70"/>
      <c r="V23" s="68"/>
      <c r="W23" s="69"/>
      <c r="X23" s="69"/>
      <c r="Y23" s="69"/>
      <c r="Z23" s="69"/>
      <c r="AA23" s="69"/>
      <c r="AB23" s="69"/>
      <c r="AC23" s="69"/>
      <c r="AD23" s="69"/>
      <c r="AE23" s="69"/>
      <c r="AF23" s="69"/>
    </row>
    <row r="24" spans="1:32" ht="69" x14ac:dyDescent="0.3">
      <c r="A24" s="34" t="s">
        <v>860</v>
      </c>
      <c r="B24" s="28" t="s">
        <v>788</v>
      </c>
      <c r="C24" s="28" t="s">
        <v>789</v>
      </c>
      <c r="D24" s="28" t="s">
        <v>24</v>
      </c>
      <c r="E24" s="66" t="s">
        <v>46</v>
      </c>
      <c r="F24" s="66" t="s">
        <v>789</v>
      </c>
      <c r="G24" s="66" t="s">
        <v>785</v>
      </c>
      <c r="H24" s="67" t="s">
        <v>15</v>
      </c>
      <c r="I24" s="68" t="str">
        <f>CONCATENATE("SUM(CASE WHEN (MCS.",F24," IN (' ', '~') OR MCS.",F24, " IS NULL) THEN 1 ELSE 0 END) AS ",F24,",")</f>
        <v>SUM(CASE WHEN (MCS.LINE_RARC IN (' ', '~') OR MCS.LINE_RARC IS NULL) THEN 1 ELSE 0 END) AS LINE_RARC,</v>
      </c>
      <c r="J24" s="66" t="s">
        <v>789</v>
      </c>
      <c r="K24" s="69"/>
      <c r="L24" s="69"/>
      <c r="M24" s="69"/>
      <c r="N24" s="69"/>
      <c r="O24" s="70"/>
      <c r="P24" s="66" t="s">
        <v>789</v>
      </c>
      <c r="Q24" s="70"/>
      <c r="R24" s="70"/>
      <c r="S24" s="71"/>
      <c r="T24" s="70"/>
      <c r="U24" s="70"/>
      <c r="V24" s="68"/>
      <c r="W24" s="69"/>
      <c r="X24" s="69"/>
      <c r="Y24" s="69"/>
      <c r="Z24" s="69"/>
      <c r="AA24" s="69"/>
      <c r="AB24" s="69"/>
      <c r="AC24" s="69"/>
      <c r="AD24" s="69"/>
      <c r="AE24" s="69"/>
      <c r="AF24" s="69"/>
    </row>
    <row r="25" spans="1:32" ht="96.6" x14ac:dyDescent="0.3">
      <c r="A25" s="34" t="s">
        <v>860</v>
      </c>
      <c r="B25" s="28" t="s">
        <v>783</v>
      </c>
      <c r="C25" s="28" t="s">
        <v>784</v>
      </c>
      <c r="D25" s="28" t="s">
        <v>24</v>
      </c>
      <c r="E25" s="66" t="s">
        <v>46</v>
      </c>
      <c r="F25" s="66" t="s">
        <v>784</v>
      </c>
      <c r="G25" s="66" t="s">
        <v>785</v>
      </c>
      <c r="H25" s="67" t="s">
        <v>15</v>
      </c>
      <c r="I25" s="68" t="str">
        <f>CONCATENATE("SUM(CASE WHEN (MCS.",F25," IN (' ', '~') OR MCS.",F25, " IS NULL) THEN 1 ELSE 0 END) AS ",F25,",")</f>
        <v>SUM(CASE WHEN (MCS.LINE_GROUP_CD IN (' ', '~') OR MCS.LINE_GROUP_CD IS NULL) THEN 1 ELSE 0 END) AS LINE_GROUP_CD,</v>
      </c>
      <c r="J25" s="66" t="s">
        <v>784</v>
      </c>
      <c r="K25" s="69"/>
      <c r="L25" s="69"/>
      <c r="M25" s="69"/>
      <c r="N25" s="69"/>
      <c r="O25" s="70"/>
      <c r="P25" s="66" t="s">
        <v>784</v>
      </c>
      <c r="Q25" s="70"/>
      <c r="R25" s="70"/>
      <c r="S25" s="71"/>
      <c r="T25" s="70"/>
      <c r="U25" s="70"/>
      <c r="V25" s="68"/>
      <c r="W25" s="69"/>
      <c r="X25" s="69"/>
      <c r="Y25" s="69"/>
      <c r="Z25" s="69"/>
      <c r="AA25" s="69"/>
      <c r="AB25" s="69"/>
      <c r="AC25" s="69"/>
      <c r="AD25" s="69"/>
      <c r="AE25" s="69"/>
      <c r="AF25" s="69"/>
    </row>
    <row r="26" spans="1:32" ht="69" x14ac:dyDescent="0.3">
      <c r="A26" s="34" t="s">
        <v>860</v>
      </c>
      <c r="B26" s="28" t="s">
        <v>786</v>
      </c>
      <c r="C26" s="28" t="s">
        <v>787</v>
      </c>
      <c r="D26" s="28" t="s">
        <v>24</v>
      </c>
      <c r="E26" s="66" t="s">
        <v>46</v>
      </c>
      <c r="F26" s="66" t="s">
        <v>787</v>
      </c>
      <c r="G26" s="66" t="s">
        <v>785</v>
      </c>
      <c r="H26" s="67" t="s">
        <v>15</v>
      </c>
      <c r="I26" s="68" t="str">
        <f>CONCATENATE("SUM(CASE WHEN (MCS.",F26," IN (' ', '~') OR MCS.",F26, " IS NULL) THEN 1 ELSE 0 END) AS ",F26,",")</f>
        <v>SUM(CASE WHEN (MCS.LINE_CARC IN (' ', '~') OR MCS.LINE_CARC IS NULL) THEN 1 ELSE 0 END) AS LINE_CARC,</v>
      </c>
      <c r="J26" s="66" t="s">
        <v>787</v>
      </c>
      <c r="K26" s="69"/>
      <c r="L26" s="69"/>
      <c r="M26" s="69"/>
      <c r="N26" s="69"/>
      <c r="O26" s="70"/>
      <c r="P26" s="66" t="s">
        <v>787</v>
      </c>
      <c r="Q26" s="70"/>
      <c r="R26" s="70"/>
      <c r="S26" s="71"/>
      <c r="T26" s="70"/>
      <c r="U26" s="70"/>
      <c r="V26" s="68"/>
      <c r="W26" s="69"/>
      <c r="X26" s="69"/>
      <c r="Y26" s="69"/>
      <c r="Z26" s="69"/>
      <c r="AA26" s="69"/>
      <c r="AB26" s="69"/>
      <c r="AC26" s="69"/>
      <c r="AD26" s="69"/>
      <c r="AE26" s="69"/>
      <c r="AF26" s="69"/>
    </row>
    <row r="27" spans="1:32" ht="96.6" x14ac:dyDescent="0.3">
      <c r="A27" s="34">
        <v>147</v>
      </c>
      <c r="B27" s="28" t="s">
        <v>482</v>
      </c>
      <c r="C27" s="28" t="s">
        <v>483</v>
      </c>
      <c r="D27" s="28" t="s">
        <v>24</v>
      </c>
      <c r="E27" s="28" t="s">
        <v>57</v>
      </c>
      <c r="F27" s="28" t="s">
        <v>484</v>
      </c>
      <c r="G27" s="44" t="s">
        <v>15</v>
      </c>
      <c r="H27" s="44" t="s">
        <v>15</v>
      </c>
      <c r="I27" s="45" t="str">
        <f>CONCATENATE("SUM(CASE WHEN (MCS.",F27," IN (' ', '~') OR MCS.",F27, " IS NULL) THEN 1 ELSE 0 END) AS ",F27,",")</f>
        <v>SUM(CASE WHEN (MCS.HCPCS_4_MDFR_CD IN (' ', '~') OR MCS.HCPCS_4_MDFR_CD IS NULL) THEN 1 ELSE 0 END) AS HCPCS_4_MDFR_CD,</v>
      </c>
      <c r="J27" s="28" t="s">
        <v>484</v>
      </c>
      <c r="K27" s="46" t="s">
        <v>861</v>
      </c>
      <c r="L27" s="46">
        <v>0</v>
      </c>
      <c r="M27" s="46">
        <v>135351338</v>
      </c>
      <c r="N27" s="47">
        <f xml:space="preserve"> 1 -O27</f>
        <v>1</v>
      </c>
      <c r="O27" s="48">
        <f>L27/M27</f>
        <v>0</v>
      </c>
      <c r="P27" s="28" t="s">
        <v>484</v>
      </c>
      <c r="Q27" s="48"/>
      <c r="R27" s="48"/>
      <c r="S27" s="54"/>
      <c r="T27" s="48"/>
      <c r="U27" s="48"/>
      <c r="V27" s="43" t="s">
        <v>484</v>
      </c>
      <c r="W27" s="46" t="s">
        <v>862</v>
      </c>
      <c r="X27" s="46" t="s">
        <v>862</v>
      </c>
      <c r="Y27" s="46">
        <v>191166</v>
      </c>
      <c r="Z27" s="46">
        <v>145875875</v>
      </c>
      <c r="AA27" s="46">
        <v>191518</v>
      </c>
      <c r="AB27" s="46">
        <v>146028028</v>
      </c>
      <c r="AC27" s="47">
        <f>1 - AD27</f>
        <v>1.8379473469856134E-3</v>
      </c>
      <c r="AD27" s="47">
        <f>Y27/AA27</f>
        <v>0.99816205265301439</v>
      </c>
      <c r="AE27" s="47">
        <f>1 - AF27</f>
        <v>1.0419438109511292E-3</v>
      </c>
      <c r="AF27" s="47">
        <f>Z27/AB27</f>
        <v>0.99895805618904887</v>
      </c>
    </row>
    <row r="28" spans="1:32" ht="96.6" x14ac:dyDescent="0.3">
      <c r="A28" s="34">
        <v>146</v>
      </c>
      <c r="B28" s="28" t="s">
        <v>479</v>
      </c>
      <c r="C28" s="28" t="s">
        <v>480</v>
      </c>
      <c r="D28" s="28" t="s">
        <v>24</v>
      </c>
      <c r="E28" s="28" t="s">
        <v>57</v>
      </c>
      <c r="F28" s="28" t="s">
        <v>481</v>
      </c>
      <c r="G28" s="55" t="s">
        <v>15</v>
      </c>
      <c r="H28" s="44" t="s">
        <v>15</v>
      </c>
      <c r="I28" s="45" t="str">
        <f>CONCATENATE("SUM(CASE WHEN (MCS.",F28," IN (' ', '~') OR MCS.",F28, " IS NULL) THEN 1 ELSE 0 END) AS ",F28,",")</f>
        <v>SUM(CASE WHEN (MCS.HCPCS_3_MDFR_CD IN (' ', '~') OR MCS.HCPCS_3_MDFR_CD IS NULL) THEN 1 ELSE 0 END) AS HCPCS_3_MDFR_CD,</v>
      </c>
      <c r="J28" s="28" t="s">
        <v>481</v>
      </c>
      <c r="K28" s="46" t="s">
        <v>861</v>
      </c>
      <c r="L28" s="46">
        <v>0</v>
      </c>
      <c r="M28" s="46">
        <v>135351338</v>
      </c>
      <c r="N28" s="47">
        <f xml:space="preserve"> 1 -O28</f>
        <v>1</v>
      </c>
      <c r="O28" s="48">
        <f>L28/M28</f>
        <v>0</v>
      </c>
      <c r="P28" s="28" t="s">
        <v>481</v>
      </c>
      <c r="Q28" s="48"/>
      <c r="R28" s="48"/>
      <c r="S28" s="54"/>
      <c r="T28" s="48"/>
      <c r="U28" s="48"/>
      <c r="V28" s="43" t="s">
        <v>481</v>
      </c>
      <c r="W28" s="46" t="s">
        <v>861</v>
      </c>
      <c r="X28" s="46" t="s">
        <v>861</v>
      </c>
      <c r="Y28" s="46">
        <v>187991</v>
      </c>
      <c r="Z28" s="46">
        <v>143833830</v>
      </c>
      <c r="AA28" s="46">
        <v>191518</v>
      </c>
      <c r="AB28" s="46">
        <v>146028028</v>
      </c>
      <c r="AC28" s="47">
        <f>1 - AD28</f>
        <v>1.8416023559143291E-2</v>
      </c>
      <c r="AD28" s="47">
        <f>Y28/AA28</f>
        <v>0.98158397644085671</v>
      </c>
      <c r="AE28" s="47">
        <f>1 - AF28</f>
        <v>1.502586886950219E-2</v>
      </c>
      <c r="AF28" s="47">
        <f>Z28/AB28</f>
        <v>0.98497413113049781</v>
      </c>
    </row>
    <row r="29" spans="1:32" ht="96.6" x14ac:dyDescent="0.3">
      <c r="A29" s="34">
        <v>145</v>
      </c>
      <c r="B29" s="28" t="s">
        <v>476</v>
      </c>
      <c r="C29" s="28" t="s">
        <v>477</v>
      </c>
      <c r="D29" s="28" t="s">
        <v>24</v>
      </c>
      <c r="E29" s="28" t="s">
        <v>57</v>
      </c>
      <c r="F29" s="28" t="s">
        <v>478</v>
      </c>
      <c r="G29" s="55" t="s">
        <v>15</v>
      </c>
      <c r="H29" s="44" t="s">
        <v>15</v>
      </c>
      <c r="I29" s="45" t="str">
        <f>CONCATENATE("SUM(CASE WHEN (MCS.",F29," IN (' ', '~') OR MCS.",F29, " IS NULL) THEN 1 ELSE 0 END) AS ",F29,",")</f>
        <v>SUM(CASE WHEN (MCS.HCPCS_2_MDFR_CD IN (' ', '~') OR MCS.HCPCS_2_MDFR_CD IS NULL) THEN 1 ELSE 0 END) AS HCPCS_2_MDFR_CD,</v>
      </c>
      <c r="J29" s="28" t="s">
        <v>478</v>
      </c>
      <c r="K29" s="46" t="s">
        <v>861</v>
      </c>
      <c r="L29" s="46">
        <v>0</v>
      </c>
      <c r="M29" s="46">
        <v>135351338</v>
      </c>
      <c r="N29" s="47">
        <f xml:space="preserve"> 1 -O29</f>
        <v>1</v>
      </c>
      <c r="O29" s="48">
        <f>L29/M29</f>
        <v>0</v>
      </c>
      <c r="P29" s="28" t="s">
        <v>478</v>
      </c>
      <c r="Q29" s="48"/>
      <c r="R29" s="48"/>
      <c r="S29" s="54"/>
      <c r="T29" s="48"/>
      <c r="U29" s="48"/>
      <c r="V29" s="43" t="s">
        <v>478</v>
      </c>
      <c r="W29" s="46" t="s">
        <v>861</v>
      </c>
      <c r="X29" s="46" t="s">
        <v>861</v>
      </c>
      <c r="Y29" s="46">
        <v>172303</v>
      </c>
      <c r="Z29" s="46">
        <v>132293894</v>
      </c>
      <c r="AA29" s="46">
        <v>191518</v>
      </c>
      <c r="AB29" s="46">
        <v>146028028</v>
      </c>
      <c r="AC29" s="47">
        <f>1 - AD29</f>
        <v>0.10032999509184515</v>
      </c>
      <c r="AD29" s="47">
        <f>Y29/AA29</f>
        <v>0.89967000490815485</v>
      </c>
      <c r="AE29" s="47">
        <f>1 - AF29</f>
        <v>9.4051355675363935E-2</v>
      </c>
      <c r="AF29" s="47">
        <f>Z29/AB29</f>
        <v>0.90594864432463607</v>
      </c>
    </row>
    <row r="30" spans="1:32" ht="96.6" x14ac:dyDescent="0.3">
      <c r="A30" s="34">
        <v>144</v>
      </c>
      <c r="B30" s="28" t="s">
        <v>473</v>
      </c>
      <c r="C30" s="28" t="s">
        <v>474</v>
      </c>
      <c r="D30" s="28" t="s">
        <v>24</v>
      </c>
      <c r="E30" s="28" t="s">
        <v>57</v>
      </c>
      <c r="F30" s="28" t="s">
        <v>475</v>
      </c>
      <c r="G30" s="55" t="s">
        <v>15</v>
      </c>
      <c r="H30" s="44" t="s">
        <v>15</v>
      </c>
      <c r="I30" s="45" t="str">
        <f>CONCATENATE("SUM(CASE WHEN (MCS.",F30," IN (' ', '~') OR MCS.",F30, " IS NULL) THEN 1 ELSE 0 END) AS ",F30,",")</f>
        <v>SUM(CASE WHEN (MCS.HCPCS_1_MDFR_CD IN (' ', '~') OR MCS.HCPCS_1_MDFR_CD IS NULL) THEN 1 ELSE 0 END) AS HCPCS_1_MDFR_CD,</v>
      </c>
      <c r="J30" s="28" t="s">
        <v>475</v>
      </c>
      <c r="K30" s="46" t="s">
        <v>861</v>
      </c>
      <c r="L30" s="46">
        <v>0</v>
      </c>
      <c r="M30" s="46">
        <v>135351338</v>
      </c>
      <c r="N30" s="47">
        <f xml:space="preserve"> 1 -O30</f>
        <v>1</v>
      </c>
      <c r="O30" s="48">
        <f>L30/M30</f>
        <v>0</v>
      </c>
      <c r="P30" s="28" t="s">
        <v>475</v>
      </c>
      <c r="Q30" s="48"/>
      <c r="R30" s="48"/>
      <c r="S30" s="54"/>
      <c r="T30" s="48"/>
      <c r="U30" s="48"/>
      <c r="V30" s="43" t="s">
        <v>475</v>
      </c>
      <c r="W30" s="46" t="s">
        <v>861</v>
      </c>
      <c r="X30" s="46" t="s">
        <v>861</v>
      </c>
      <c r="Y30" s="46">
        <v>111059</v>
      </c>
      <c r="Z30" s="46">
        <v>90612864</v>
      </c>
      <c r="AA30" s="46">
        <v>191518</v>
      </c>
      <c r="AB30" s="46">
        <v>146028028</v>
      </c>
      <c r="AC30" s="47">
        <f>1 - AD30</f>
        <v>0.42011194770204363</v>
      </c>
      <c r="AD30" s="47">
        <f>Y30/AA30</f>
        <v>0.57988805229795637</v>
      </c>
      <c r="AE30" s="47">
        <f>1 - AF30</f>
        <v>0.37948306745606397</v>
      </c>
      <c r="AF30" s="47">
        <f>Z30/AB30</f>
        <v>0.62051693254393603</v>
      </c>
    </row>
    <row r="31" spans="1:32" ht="96.6" x14ac:dyDescent="0.3">
      <c r="A31" s="34">
        <v>131</v>
      </c>
      <c r="B31" s="28" t="s">
        <v>423</v>
      </c>
      <c r="C31" s="28" t="s">
        <v>424</v>
      </c>
      <c r="D31" s="43" t="s">
        <v>429</v>
      </c>
      <c r="E31" s="43" t="s">
        <v>57</v>
      </c>
      <c r="F31" s="43" t="s">
        <v>430</v>
      </c>
      <c r="G31" s="55" t="s">
        <v>15</v>
      </c>
      <c r="H31" s="44" t="s">
        <v>15</v>
      </c>
      <c r="I31" s="45" t="str">
        <f>CONCATENATE("SUM(CASE WHEN (MCS.",F31," IN (' ', '~') OR MCS.",F31, " IS NULL) THEN 1 ELSE 0 END) AS ",F31,",")</f>
        <v>SUM(CASE WHEN (MCS.GEO_RNDRG_ZIP4_CD IN (' ', '~') OR MCS.GEO_RNDRG_ZIP4_CD IS NULL) THEN 1 ELSE 0 END) AS GEO_RNDRG_ZIP4_CD,</v>
      </c>
      <c r="J31" s="43" t="s">
        <v>430</v>
      </c>
      <c r="K31" s="46" t="s">
        <v>861</v>
      </c>
      <c r="L31" s="46">
        <v>0</v>
      </c>
      <c r="M31" s="46">
        <v>135351338</v>
      </c>
      <c r="N31" s="47">
        <f xml:space="preserve"> 1 -O31</f>
        <v>1</v>
      </c>
      <c r="O31" s="48">
        <f>L31/M31</f>
        <v>0</v>
      </c>
      <c r="P31" s="43" t="s">
        <v>430</v>
      </c>
      <c r="Q31" s="48"/>
      <c r="R31" s="48"/>
      <c r="S31" s="54"/>
      <c r="T31" s="48"/>
      <c r="U31" s="48"/>
      <c r="V31" s="43" t="s">
        <v>430</v>
      </c>
      <c r="W31" s="46" t="s">
        <v>862</v>
      </c>
      <c r="X31" s="46" t="s">
        <v>862</v>
      </c>
      <c r="Y31" s="46">
        <v>191518</v>
      </c>
      <c r="Z31" s="46">
        <v>146028028</v>
      </c>
      <c r="AA31" s="46">
        <v>191518</v>
      </c>
      <c r="AB31" s="46">
        <v>146028028</v>
      </c>
      <c r="AC31" s="47">
        <f>1 - AD31</f>
        <v>0</v>
      </c>
      <c r="AD31" s="47">
        <f>Y31/AA31</f>
        <v>1</v>
      </c>
      <c r="AE31" s="47">
        <f>1 - AF31</f>
        <v>0</v>
      </c>
      <c r="AF31" s="47">
        <f>Z31/AB31</f>
        <v>1</v>
      </c>
    </row>
    <row r="32" spans="1:32" ht="110.4" x14ac:dyDescent="0.3">
      <c r="A32" s="34">
        <v>130</v>
      </c>
      <c r="B32" s="28" t="s">
        <v>420</v>
      </c>
      <c r="C32" s="28" t="s">
        <v>421</v>
      </c>
      <c r="D32" s="28" t="s">
        <v>24</v>
      </c>
      <c r="E32" s="43" t="s">
        <v>57</v>
      </c>
      <c r="F32" s="43" t="s">
        <v>422</v>
      </c>
      <c r="G32" s="44" t="s">
        <v>15</v>
      </c>
      <c r="H32" s="44" t="s">
        <v>15</v>
      </c>
      <c r="I32" s="45" t="str">
        <f>CONCATENATE("SUM(CASE WHEN (MCS.",F32," IN (' ', '~') OR MCS.",F32, " IS NULL) THEN 1 ELSE 0 END) AS ",F32,",")</f>
        <v>SUM(CASE WHEN (MCS.GEO_RNDRG_SSA_STATE_CD IN (' ', '~') OR MCS.GEO_RNDRG_SSA_STATE_CD IS NULL) THEN 1 ELSE 0 END) AS GEO_RNDRG_SSA_STATE_CD,</v>
      </c>
      <c r="J32" s="43" t="s">
        <v>422</v>
      </c>
      <c r="K32" s="46" t="s">
        <v>861</v>
      </c>
      <c r="L32" s="46">
        <v>0</v>
      </c>
      <c r="M32" s="46">
        <v>135351338</v>
      </c>
      <c r="N32" s="47">
        <f xml:space="preserve"> 1 -O32</f>
        <v>1</v>
      </c>
      <c r="O32" s="48">
        <f>L32/M32</f>
        <v>0</v>
      </c>
      <c r="P32" s="43" t="s">
        <v>422</v>
      </c>
      <c r="Q32" s="48"/>
      <c r="R32" s="48"/>
      <c r="S32" s="54"/>
      <c r="T32" s="48"/>
      <c r="U32" s="48"/>
      <c r="V32" s="43" t="s">
        <v>422</v>
      </c>
      <c r="W32" s="46" t="s">
        <v>862</v>
      </c>
      <c r="X32" s="46" t="s">
        <v>862</v>
      </c>
      <c r="Y32" s="46">
        <v>191518</v>
      </c>
      <c r="Z32" s="46">
        <v>146028028</v>
      </c>
      <c r="AA32" s="46">
        <v>191518</v>
      </c>
      <c r="AB32" s="46">
        <v>146028028</v>
      </c>
      <c r="AC32" s="47">
        <f>1 - AD32</f>
        <v>0</v>
      </c>
      <c r="AD32" s="47">
        <f>Y32/AA32</f>
        <v>1</v>
      </c>
      <c r="AE32" s="47">
        <f>1 - AF32</f>
        <v>0</v>
      </c>
      <c r="AF32" s="47">
        <f>Z32/AB32</f>
        <v>1</v>
      </c>
    </row>
    <row r="33" spans="1:32" ht="110.4" x14ac:dyDescent="0.3">
      <c r="A33" s="34">
        <v>131</v>
      </c>
      <c r="B33" s="28" t="s">
        <v>423</v>
      </c>
      <c r="C33" s="28" t="s">
        <v>424</v>
      </c>
      <c r="D33" s="43" t="s">
        <v>425</v>
      </c>
      <c r="E33" s="43" t="s">
        <v>57</v>
      </c>
      <c r="F33" s="43" t="s">
        <v>426</v>
      </c>
      <c r="G33" s="55" t="s">
        <v>15</v>
      </c>
      <c r="H33" s="44" t="s">
        <v>15</v>
      </c>
      <c r="I33" s="45" t="str">
        <f>CONCATENATE("SUM(CASE WHEN (MCS.",F33, " IS NULL) THEN 1 ELSE 0 END) AS ",F33,",")</f>
        <v>SUM(CASE WHEN (MCS.GEO_RNDRG_SK IS NULL) THEN 1 ELSE 0 END) AS GEO_RNDRG_SK,</v>
      </c>
      <c r="J33" s="43" t="s">
        <v>426</v>
      </c>
      <c r="K33" s="46" t="s">
        <v>861</v>
      </c>
      <c r="L33" s="46">
        <v>0</v>
      </c>
      <c r="M33" s="46">
        <v>135351338</v>
      </c>
      <c r="N33" s="47">
        <f xml:space="preserve"> 1 -O33</f>
        <v>1</v>
      </c>
      <c r="O33" s="48">
        <f>L33/M33</f>
        <v>0</v>
      </c>
      <c r="P33" s="43" t="s">
        <v>426</v>
      </c>
      <c r="Q33" s="48"/>
      <c r="R33" s="48"/>
      <c r="S33" s="54"/>
      <c r="T33" s="48"/>
      <c r="U33" s="48"/>
      <c r="V33" s="43" t="s">
        <v>426</v>
      </c>
      <c r="W33" s="46" t="s">
        <v>861</v>
      </c>
      <c r="X33" s="46" t="s">
        <v>861</v>
      </c>
      <c r="Y33" s="46">
        <v>0</v>
      </c>
      <c r="Z33" s="46">
        <v>0</v>
      </c>
      <c r="AA33" s="46">
        <v>191518</v>
      </c>
      <c r="AB33" s="46">
        <v>146028028</v>
      </c>
      <c r="AC33" s="47">
        <f>1 - AD33</f>
        <v>1</v>
      </c>
      <c r="AD33" s="47">
        <f>Y33/AA33</f>
        <v>0</v>
      </c>
      <c r="AE33" s="47">
        <f>1 - AF33</f>
        <v>1</v>
      </c>
      <c r="AF33" s="47">
        <f>Z33/AB33</f>
        <v>0</v>
      </c>
    </row>
    <row r="34" spans="1:32" ht="124.2" x14ac:dyDescent="0.3">
      <c r="A34" s="34">
        <v>184</v>
      </c>
      <c r="B34" s="28" t="s">
        <v>590</v>
      </c>
      <c r="C34" s="28" t="s">
        <v>591</v>
      </c>
      <c r="D34" s="43" t="s">
        <v>596</v>
      </c>
      <c r="E34" s="43" t="s">
        <v>436</v>
      </c>
      <c r="F34" s="43" t="s">
        <v>597</v>
      </c>
      <c r="G34" s="43" t="s">
        <v>860</v>
      </c>
      <c r="H34" s="44" t="s">
        <v>15</v>
      </c>
      <c r="I34" s="45" t="str">
        <f>CONCATENATE("SUM(CASE WHEN (MCS.",F34," IN (' ', '~') OR MCS.",F34, " IS NULL) THEN 1 ELSE 0 END) AS ",F34,",")</f>
        <v>SUM(CASE WHEN (MCS.GEO_PTNT_PCKP_ZIP4_CD IN (' ', '~') OR MCS.GEO_PTNT_PCKP_ZIP4_CD IS NULL) THEN 1 ELSE 0 END) AS GEO_PTNT_PCKP_ZIP4_CD,</v>
      </c>
      <c r="J34" s="43" t="s">
        <v>597</v>
      </c>
      <c r="K34" s="46" t="s">
        <v>861</v>
      </c>
      <c r="L34" s="46">
        <v>0</v>
      </c>
      <c r="M34" s="46">
        <v>135449900</v>
      </c>
      <c r="N34" s="47">
        <f xml:space="preserve"> 1 -O34</f>
        <v>1</v>
      </c>
      <c r="O34" s="48">
        <f>L34/M34</f>
        <v>0</v>
      </c>
      <c r="P34" s="43" t="s">
        <v>597</v>
      </c>
      <c r="Q34" s="48"/>
      <c r="R34" s="48"/>
      <c r="S34" s="54"/>
      <c r="T34" s="48"/>
      <c r="U34" s="48"/>
      <c r="V34" s="24" t="s">
        <v>597</v>
      </c>
      <c r="W34" s="53" t="s">
        <v>861</v>
      </c>
      <c r="X34" s="53" t="s">
        <v>861</v>
      </c>
      <c r="Y34" s="59" t="s">
        <v>908</v>
      </c>
      <c r="Z34" s="59">
        <v>2</v>
      </c>
      <c r="AA34" s="57">
        <v>191518</v>
      </c>
      <c r="AB34" s="57">
        <v>146028028</v>
      </c>
      <c r="AC34" s="47">
        <f>1 - AD34</f>
        <v>1</v>
      </c>
      <c r="AD34" s="47">
        <v>0</v>
      </c>
      <c r="AE34" s="47">
        <f>1 - AF34</f>
        <v>0.99999998630399911</v>
      </c>
      <c r="AF34" s="47">
        <f>Z34/AB34</f>
        <v>1.3696000880050233E-8</v>
      </c>
    </row>
    <row r="35" spans="1:32" ht="124.2" x14ac:dyDescent="0.3">
      <c r="A35" s="34">
        <v>184</v>
      </c>
      <c r="B35" s="28" t="s">
        <v>590</v>
      </c>
      <c r="C35" s="28" t="s">
        <v>591</v>
      </c>
      <c r="D35" s="43" t="s">
        <v>592</v>
      </c>
      <c r="E35" s="43" t="s">
        <v>436</v>
      </c>
      <c r="F35" s="43" t="s">
        <v>593</v>
      </c>
      <c r="G35" s="43" t="s">
        <v>860</v>
      </c>
      <c r="H35" s="44" t="s">
        <v>15</v>
      </c>
      <c r="I35" s="45" t="str">
        <f>CONCATENATE("SUM(CASE WHEN (MCS.",F35, " IS NULL) THEN 1 ELSE 0 END) AS ",F35,",")</f>
        <v>SUM(CASE WHEN (MCS.GEO_PTNT_PCKP_SK IS NULL) THEN 1 ELSE 0 END) AS GEO_PTNT_PCKP_SK,</v>
      </c>
      <c r="J35" s="43" t="s">
        <v>593</v>
      </c>
      <c r="K35" s="46" t="s">
        <v>861</v>
      </c>
      <c r="L35" s="46">
        <v>0</v>
      </c>
      <c r="M35" s="46">
        <v>135449900</v>
      </c>
      <c r="N35" s="47">
        <f xml:space="preserve"> 1 -O35</f>
        <v>1</v>
      </c>
      <c r="O35" s="48">
        <f>L35/M35</f>
        <v>0</v>
      </c>
      <c r="P35" s="43" t="s">
        <v>593</v>
      </c>
      <c r="Q35" s="48"/>
      <c r="R35" s="48"/>
      <c r="S35" s="54"/>
      <c r="T35" s="48"/>
      <c r="U35" s="48"/>
      <c r="V35" s="24" t="s">
        <v>593</v>
      </c>
      <c r="W35" s="53" t="s">
        <v>861</v>
      </c>
      <c r="X35" s="53" t="s">
        <v>861</v>
      </c>
      <c r="Y35" s="59">
        <v>0</v>
      </c>
      <c r="Z35" s="59">
        <v>0</v>
      </c>
      <c r="AA35" s="57">
        <v>191518</v>
      </c>
      <c r="AB35" s="57">
        <v>146028028</v>
      </c>
      <c r="AC35" s="47">
        <f>1 - AD35</f>
        <v>1</v>
      </c>
      <c r="AD35" s="47">
        <v>0</v>
      </c>
      <c r="AE35" s="47">
        <f>1 - AF35</f>
        <v>1</v>
      </c>
      <c r="AF35" s="47">
        <v>0</v>
      </c>
    </row>
    <row r="36" spans="1:32" ht="110.4" x14ac:dyDescent="0.3">
      <c r="A36" s="34">
        <v>185</v>
      </c>
      <c r="B36" s="28" t="s">
        <v>598</v>
      </c>
      <c r="C36" s="28" t="s">
        <v>599</v>
      </c>
      <c r="D36" s="43" t="s">
        <v>604</v>
      </c>
      <c r="E36" s="43" t="s">
        <v>436</v>
      </c>
      <c r="F36" s="43" t="s">
        <v>605</v>
      </c>
      <c r="G36" s="60" t="s">
        <v>15</v>
      </c>
      <c r="H36" s="44" t="s">
        <v>15</v>
      </c>
      <c r="I36" s="45" t="str">
        <f>CONCATENATE("SUM(CASE WHEN (MCS.",F36," IN (' ', '~') OR MCS.",F36, " IS NULL) THEN 1 ELSE 0 END) AS ",F36,",")</f>
        <v>SUM(CASE WHEN (MCS.GEO_DROP_OFF_ZIP4_CD IN (' ', '~') OR MCS.GEO_DROP_OFF_ZIP4_CD IS NULL) THEN 1 ELSE 0 END) AS GEO_DROP_OFF_ZIP4_CD,</v>
      </c>
      <c r="J36" s="43" t="s">
        <v>605</v>
      </c>
      <c r="K36" s="46" t="s">
        <v>861</v>
      </c>
      <c r="L36" s="46">
        <v>0</v>
      </c>
      <c r="M36" s="46">
        <v>135449900</v>
      </c>
      <c r="N36" s="47">
        <f xml:space="preserve"> 1 -O36</f>
        <v>1</v>
      </c>
      <c r="O36" s="48">
        <f>L36/M36</f>
        <v>0</v>
      </c>
      <c r="P36" s="43" t="s">
        <v>605</v>
      </c>
      <c r="Q36" s="48"/>
      <c r="R36" s="48"/>
      <c r="S36" s="54"/>
      <c r="T36" s="48"/>
      <c r="U36" s="48"/>
      <c r="V36" s="24" t="s">
        <v>605</v>
      </c>
      <c r="W36" s="53" t="s">
        <v>861</v>
      </c>
      <c r="X36" s="53" t="s">
        <v>861</v>
      </c>
      <c r="Y36" s="59" t="s">
        <v>908</v>
      </c>
      <c r="Z36" s="59">
        <v>2</v>
      </c>
      <c r="AA36" s="57">
        <v>191518</v>
      </c>
      <c r="AB36" s="57">
        <v>146028028</v>
      </c>
      <c r="AC36" s="47">
        <f>1 - AD36</f>
        <v>1</v>
      </c>
      <c r="AD36" s="47">
        <v>0</v>
      </c>
      <c r="AE36" s="47">
        <f>1 - AF36</f>
        <v>0.99999998630399911</v>
      </c>
      <c r="AF36" s="47">
        <f>Z36/AB36</f>
        <v>1.3696000880050233E-8</v>
      </c>
    </row>
    <row r="37" spans="1:32" ht="96.6" x14ac:dyDescent="0.3">
      <c r="A37" s="34">
        <v>185</v>
      </c>
      <c r="B37" s="28" t="s">
        <v>598</v>
      </c>
      <c r="C37" s="28" t="s">
        <v>599</v>
      </c>
      <c r="D37" s="43" t="s">
        <v>600</v>
      </c>
      <c r="E37" s="43" t="s">
        <v>436</v>
      </c>
      <c r="F37" s="43" t="s">
        <v>601</v>
      </c>
      <c r="G37" s="44" t="s">
        <v>15</v>
      </c>
      <c r="H37" s="44" t="s">
        <v>15</v>
      </c>
      <c r="I37" s="45" t="str">
        <f>CONCATENATE("SUM(CASE WHEN (MCS.",F37, " IS NULL) THEN 1 ELSE 0 END) AS ",F37,",")</f>
        <v>SUM(CASE WHEN (MCS.GEO_DROP_OFF_SK IS NULL) THEN 1 ELSE 0 END) AS GEO_DROP_OFF_SK,</v>
      </c>
      <c r="J37" s="43" t="s">
        <v>601</v>
      </c>
      <c r="K37" s="46" t="s">
        <v>861</v>
      </c>
      <c r="L37" s="46">
        <v>0</v>
      </c>
      <c r="M37" s="46">
        <v>135449900</v>
      </c>
      <c r="N37" s="47">
        <f xml:space="preserve"> 1 -O37</f>
        <v>1</v>
      </c>
      <c r="O37" s="48">
        <f>L37/M37</f>
        <v>0</v>
      </c>
      <c r="P37" s="43" t="s">
        <v>601</v>
      </c>
      <c r="Q37" s="48"/>
      <c r="R37" s="48"/>
      <c r="S37" s="54"/>
      <c r="T37" s="48"/>
      <c r="U37" s="48"/>
      <c r="V37" s="24" t="s">
        <v>601</v>
      </c>
      <c r="W37" s="53" t="s">
        <v>861</v>
      </c>
      <c r="X37" s="53" t="s">
        <v>861</v>
      </c>
      <c r="Y37" s="59">
        <v>0</v>
      </c>
      <c r="Z37" s="59">
        <v>0</v>
      </c>
      <c r="AA37" s="57">
        <v>191518</v>
      </c>
      <c r="AB37" s="57">
        <v>146028028</v>
      </c>
      <c r="AC37" s="47">
        <f>1 - AD37</f>
        <v>1</v>
      </c>
      <c r="AD37" s="47">
        <v>0</v>
      </c>
      <c r="AE37" s="47">
        <f>1 - AF37</f>
        <v>1</v>
      </c>
      <c r="AF37" s="47">
        <v>0</v>
      </c>
    </row>
    <row r="38" spans="1:32" ht="110.4" x14ac:dyDescent="0.3">
      <c r="A38" s="34">
        <v>14</v>
      </c>
      <c r="B38" s="28" t="s">
        <v>48</v>
      </c>
      <c r="C38" s="28" t="s">
        <v>49</v>
      </c>
      <c r="D38" s="28" t="s">
        <v>24</v>
      </c>
      <c r="E38" s="28" t="s">
        <v>31</v>
      </c>
      <c r="F38" s="28" t="s">
        <v>51</v>
      </c>
      <c r="G38" s="28" t="s">
        <v>860</v>
      </c>
      <c r="H38" s="44" t="s">
        <v>15</v>
      </c>
      <c r="I38" s="45" t="str">
        <f>CONCATENATE("SUM(CASE WHEN ",F38," IN (' ', '~') OR ",F38, " IS NULL THEN 1 ELSE 0 END) AS ",F38,",")</f>
        <v>SUM(CASE WHEN GEO_BENE_SSA_STATE_CD IN (' ', '~') OR GEO_BENE_SSA_STATE_CD IS NULL THEN 1 ELSE 0 END) AS GEO_BENE_SSA_STATE_CD,</v>
      </c>
      <c r="J38" s="28" t="s">
        <v>51</v>
      </c>
      <c r="K38" s="46" t="s">
        <v>861</v>
      </c>
      <c r="L38" s="46">
        <v>0</v>
      </c>
      <c r="M38" s="46">
        <v>67078797</v>
      </c>
      <c r="N38" s="47">
        <f xml:space="preserve"> 1 -O38</f>
        <v>1</v>
      </c>
      <c r="O38" s="48">
        <f>L38/M38</f>
        <v>0</v>
      </c>
      <c r="P38" s="49" t="s">
        <v>51</v>
      </c>
      <c r="Q38" s="50"/>
      <c r="R38" s="51">
        <v>0</v>
      </c>
      <c r="S38" s="54"/>
      <c r="T38" s="48"/>
      <c r="U38" s="48"/>
      <c r="V38" s="43" t="s">
        <v>51</v>
      </c>
      <c r="W38" s="46" t="s">
        <v>862</v>
      </c>
      <c r="X38" s="46" t="s">
        <v>862</v>
      </c>
      <c r="Y38" s="46">
        <v>89974</v>
      </c>
      <c r="Z38" s="46">
        <v>71615601</v>
      </c>
      <c r="AA38" s="46">
        <v>89974</v>
      </c>
      <c r="AB38" s="46">
        <v>71615601</v>
      </c>
      <c r="AC38" s="47">
        <f>1 - AD38</f>
        <v>0</v>
      </c>
      <c r="AD38" s="47">
        <f>Y38/AA38</f>
        <v>1</v>
      </c>
      <c r="AE38" s="47">
        <f>1 - AF38</f>
        <v>0</v>
      </c>
      <c r="AF38" s="47">
        <f>Z38/AB38</f>
        <v>1</v>
      </c>
    </row>
    <row r="39" spans="1:32" ht="110.4" x14ac:dyDescent="0.3">
      <c r="A39" s="34">
        <v>32</v>
      </c>
      <c r="B39" s="28" t="s">
        <v>106</v>
      </c>
      <c r="C39" s="28" t="s">
        <v>107</v>
      </c>
      <c r="D39" s="28" t="s">
        <v>24</v>
      </c>
      <c r="E39" s="28" t="s">
        <v>31</v>
      </c>
      <c r="F39" s="28" t="s">
        <v>108</v>
      </c>
      <c r="G39" s="28" t="s">
        <v>860</v>
      </c>
      <c r="H39" s="44" t="s">
        <v>15</v>
      </c>
      <c r="I39" s="45" t="str">
        <f>CONCATENATE("SUM(CASE WHEN ",F39," IN (' ', '~') OR ",F39, " IS NULL THEN 1 ELSE 0 END) AS ",F39,",")</f>
        <v>SUM(CASE WHEN GEO_BENE_SSA_CNTY_CD IN (' ', '~') OR GEO_BENE_SSA_CNTY_CD IS NULL THEN 1 ELSE 0 END) AS GEO_BENE_SSA_CNTY_CD,</v>
      </c>
      <c r="J39" s="28" t="s">
        <v>108</v>
      </c>
      <c r="K39" s="46" t="s">
        <v>861</v>
      </c>
      <c r="L39" s="46">
        <v>0</v>
      </c>
      <c r="M39" s="46">
        <v>67078797</v>
      </c>
      <c r="N39" s="47">
        <f xml:space="preserve"> 1 -O39</f>
        <v>1</v>
      </c>
      <c r="O39" s="48">
        <f>L39/M39</f>
        <v>0</v>
      </c>
      <c r="P39" s="49" t="s">
        <v>108</v>
      </c>
      <c r="Q39" s="50"/>
      <c r="R39" s="51">
        <v>0</v>
      </c>
      <c r="S39" s="54"/>
      <c r="T39" s="48"/>
      <c r="U39" s="48"/>
      <c r="V39" s="43" t="s">
        <v>108</v>
      </c>
      <c r="W39" s="46" t="s">
        <v>862</v>
      </c>
      <c r="X39" s="46" t="s">
        <v>862</v>
      </c>
      <c r="Y39" s="46">
        <v>89974</v>
      </c>
      <c r="Z39" s="46">
        <v>71615601</v>
      </c>
      <c r="AA39" s="46">
        <v>89974</v>
      </c>
      <c r="AB39" s="46">
        <v>71615601</v>
      </c>
      <c r="AC39" s="47">
        <f>1 - AD39</f>
        <v>0</v>
      </c>
      <c r="AD39" s="47">
        <f>Y39/AA39</f>
        <v>1</v>
      </c>
      <c r="AE39" s="47">
        <f>1 - AF39</f>
        <v>0</v>
      </c>
      <c r="AF39" s="47">
        <f>Z39/AB39</f>
        <v>1</v>
      </c>
    </row>
    <row r="40" spans="1:32" ht="96.6" x14ac:dyDescent="0.3">
      <c r="A40" s="34">
        <v>38</v>
      </c>
      <c r="B40" s="43" t="s">
        <v>126</v>
      </c>
      <c r="C40" s="28" t="s">
        <v>127</v>
      </c>
      <c r="D40" s="43" t="s">
        <v>128</v>
      </c>
      <c r="E40" s="28" t="s">
        <v>31</v>
      </c>
      <c r="F40" s="28" t="s">
        <v>129</v>
      </c>
      <c r="G40" s="44" t="s">
        <v>15</v>
      </c>
      <c r="H40" s="44" t="s">
        <v>15</v>
      </c>
      <c r="I40" s="45" t="str">
        <f>CONCATENATE("SUM(CASE WHEN (",F40, " IS NULL) THEN 1 ELSE 0 END) AS ",F40,",")</f>
        <v>SUM(CASE WHEN (GEO_BENE_SK IS NULL) THEN 1 ELSE 0 END) AS GEO_BENE_SK,</v>
      </c>
      <c r="J40" s="28" t="s">
        <v>129</v>
      </c>
      <c r="K40" s="46" t="s">
        <v>861</v>
      </c>
      <c r="L40" s="46">
        <v>0</v>
      </c>
      <c r="M40" s="46">
        <v>67078797</v>
      </c>
      <c r="N40" s="47">
        <f xml:space="preserve"> 1 -O40</f>
        <v>1</v>
      </c>
      <c r="O40" s="48">
        <f>L40/M40</f>
        <v>0</v>
      </c>
      <c r="P40" s="49" t="s">
        <v>129</v>
      </c>
      <c r="Q40" s="50"/>
      <c r="R40" s="51">
        <v>0</v>
      </c>
      <c r="S40" s="54"/>
      <c r="T40" s="48"/>
      <c r="U40" s="48"/>
      <c r="V40" s="43" t="s">
        <v>129</v>
      </c>
      <c r="W40" s="46" t="s">
        <v>861</v>
      </c>
      <c r="X40" s="46" t="s">
        <v>861</v>
      </c>
      <c r="Y40" s="46">
        <v>0</v>
      </c>
      <c r="Z40" s="46">
        <v>0</v>
      </c>
      <c r="AA40" s="46">
        <v>89974</v>
      </c>
      <c r="AB40" s="46">
        <v>71615601</v>
      </c>
      <c r="AC40" s="47">
        <f>1 - AD40</f>
        <v>1</v>
      </c>
      <c r="AD40" s="47">
        <f>Y40/AA40</f>
        <v>0</v>
      </c>
      <c r="AE40" s="47">
        <f>1 - AF40</f>
        <v>1</v>
      </c>
      <c r="AF40" s="47">
        <f>Z40/AB40</f>
        <v>0</v>
      </c>
    </row>
    <row r="41" spans="1:32" ht="69" x14ac:dyDescent="0.3">
      <c r="A41" s="34">
        <v>142</v>
      </c>
      <c r="B41" s="28" t="s">
        <v>465</v>
      </c>
      <c r="C41" s="28" t="s">
        <v>466</v>
      </c>
      <c r="D41" s="28" t="s">
        <v>468</v>
      </c>
      <c r="E41" s="28" t="s">
        <v>57</v>
      </c>
      <c r="F41" s="28" t="s">
        <v>469</v>
      </c>
      <c r="G41" s="44" t="s">
        <v>15</v>
      </c>
      <c r="H41" s="44" t="s">
        <v>15</v>
      </c>
      <c r="I41" s="45" t="str">
        <f>CONCATENATE("SUM(CASE WHEN (MCS.",F41, " IS NULL) THEN 1 ELSE 0 END) AS ",F41,",")</f>
        <v>SUM(CASE WHEN (MCS.CLNDR_CY_NUM IS NULL) THEN 1 ELSE 0 END) AS CLNDR_CY_NUM,</v>
      </c>
      <c r="J41" s="28" t="s">
        <v>469</v>
      </c>
      <c r="K41" s="46" t="s">
        <v>861</v>
      </c>
      <c r="L41" s="46">
        <v>0</v>
      </c>
      <c r="M41" s="46">
        <v>135351338</v>
      </c>
      <c r="N41" s="47">
        <f xml:space="preserve"> 1 -O41</f>
        <v>1</v>
      </c>
      <c r="O41" s="48">
        <f>L41/M41</f>
        <v>0</v>
      </c>
      <c r="P41" s="28" t="s">
        <v>469</v>
      </c>
      <c r="Q41" s="48"/>
      <c r="R41" s="48"/>
      <c r="S41" s="54"/>
      <c r="T41" s="48"/>
      <c r="U41" s="48"/>
      <c r="V41" s="43" t="s">
        <v>469</v>
      </c>
      <c r="W41" s="46" t="s">
        <v>861</v>
      </c>
      <c r="X41" s="46" t="s">
        <v>861</v>
      </c>
      <c r="Y41" s="46">
        <v>0</v>
      </c>
      <c r="Z41" s="46">
        <v>0</v>
      </c>
      <c r="AA41" s="46">
        <v>191518</v>
      </c>
      <c r="AB41" s="46">
        <v>146028028</v>
      </c>
      <c r="AC41" s="47">
        <f>1 - AD41</f>
        <v>1</v>
      </c>
      <c r="AD41" s="47">
        <f>Y41/AA41</f>
        <v>0</v>
      </c>
      <c r="AE41" s="47">
        <f>1 - AF41</f>
        <v>1</v>
      </c>
      <c r="AF41" s="47">
        <f>Z41/AB41</f>
        <v>0</v>
      </c>
    </row>
    <row r="42" spans="1:32" ht="69" x14ac:dyDescent="0.3">
      <c r="A42" s="34">
        <v>244</v>
      </c>
      <c r="B42" s="43" t="s">
        <v>814</v>
      </c>
      <c r="C42" s="28" t="s">
        <v>803</v>
      </c>
      <c r="D42" s="28" t="s">
        <v>815</v>
      </c>
      <c r="E42" s="28" t="s">
        <v>31</v>
      </c>
      <c r="F42" s="28" t="s">
        <v>816</v>
      </c>
      <c r="G42" s="44" t="s">
        <v>15</v>
      </c>
      <c r="H42" s="44" t="s">
        <v>15</v>
      </c>
      <c r="I42" s="45" t="str">
        <f>CONCATENATE("SUM(CASE WHEN (",F42, " IS NULL) THEN 1 ELSE 0 END) AS ",F42,",")</f>
        <v>SUM(CASE WHEN (CLM_UNIQ_ID IS NULL) THEN 1 ELSE 0 END) AS CLM_UNIQ_ID,</v>
      </c>
      <c r="J42" s="28" t="s">
        <v>816</v>
      </c>
      <c r="K42" s="46" t="s">
        <v>861</v>
      </c>
      <c r="L42" s="46">
        <v>0</v>
      </c>
      <c r="M42" s="46">
        <v>67078797</v>
      </c>
      <c r="N42" s="47">
        <f xml:space="preserve"> 1 -O42</f>
        <v>1</v>
      </c>
      <c r="O42" s="48">
        <f>L42/M42</f>
        <v>0</v>
      </c>
      <c r="P42" s="49" t="s">
        <v>816</v>
      </c>
      <c r="Q42" s="50"/>
      <c r="R42" s="51">
        <v>0</v>
      </c>
      <c r="S42" s="54"/>
      <c r="T42" s="48"/>
      <c r="U42" s="48"/>
      <c r="V42" s="43" t="s">
        <v>816</v>
      </c>
      <c r="W42" s="46" t="s">
        <v>861</v>
      </c>
      <c r="X42" s="46" t="s">
        <v>861</v>
      </c>
      <c r="Y42" s="46">
        <v>0</v>
      </c>
      <c r="Z42" s="46">
        <v>0</v>
      </c>
      <c r="AA42" s="46">
        <v>89974</v>
      </c>
      <c r="AB42" s="46">
        <v>71615601</v>
      </c>
      <c r="AC42" s="47">
        <f>1 - AD42</f>
        <v>1</v>
      </c>
      <c r="AD42" s="47">
        <f>Y42/AA42</f>
        <v>0</v>
      </c>
      <c r="AE42" s="47">
        <f>1 - AF42</f>
        <v>1</v>
      </c>
      <c r="AF42" s="47">
        <f>Z42/AB42</f>
        <v>0</v>
      </c>
    </row>
    <row r="43" spans="1:32" ht="69" x14ac:dyDescent="0.3">
      <c r="A43" s="34">
        <v>245</v>
      </c>
      <c r="B43" s="43" t="s">
        <v>814</v>
      </c>
      <c r="C43" s="28" t="s">
        <v>803</v>
      </c>
      <c r="D43" s="28" t="s">
        <v>815</v>
      </c>
      <c r="E43" s="28" t="s">
        <v>57</v>
      </c>
      <c r="F43" s="28" t="s">
        <v>816</v>
      </c>
      <c r="G43" s="28" t="s">
        <v>817</v>
      </c>
      <c r="H43" s="44" t="s">
        <v>15</v>
      </c>
      <c r="I43" s="45" t="str">
        <f>CONCATENATE("SUM(CASE WHEN (MCS.",F43, " IS NULL) THEN 1 ELSE 0 END) AS ",F43,",")</f>
        <v>SUM(CASE WHEN (MCS.CLM_UNIQ_ID IS NULL) THEN 1 ELSE 0 END) AS CLM_UNIQ_ID,</v>
      </c>
      <c r="J43" s="28" t="s">
        <v>816</v>
      </c>
      <c r="K43" s="46" t="s">
        <v>861</v>
      </c>
      <c r="L43" s="46">
        <v>0</v>
      </c>
      <c r="M43" s="46">
        <v>135351338</v>
      </c>
      <c r="N43" s="47">
        <f xml:space="preserve"> 1 -O43</f>
        <v>1</v>
      </c>
      <c r="O43" s="48">
        <f>L43/M43</f>
        <v>0</v>
      </c>
      <c r="P43" s="28" t="s">
        <v>816</v>
      </c>
      <c r="Q43" s="48"/>
      <c r="R43" s="48"/>
      <c r="S43" s="54"/>
      <c r="T43" s="48"/>
      <c r="U43" s="48"/>
      <c r="V43" s="43" t="s">
        <v>816</v>
      </c>
      <c r="W43" s="46" t="s">
        <v>861</v>
      </c>
      <c r="X43" s="46" t="s">
        <v>861</v>
      </c>
      <c r="Y43" s="46">
        <v>0</v>
      </c>
      <c r="Z43" s="46">
        <v>0</v>
      </c>
      <c r="AA43" s="46">
        <v>191518</v>
      </c>
      <c r="AB43" s="46">
        <v>146028028</v>
      </c>
      <c r="AC43" s="47">
        <f>1 - AD43</f>
        <v>1</v>
      </c>
      <c r="AD43" s="47">
        <f>Y43/AA43</f>
        <v>0</v>
      </c>
      <c r="AE43" s="47">
        <f>1 - AF43</f>
        <v>1</v>
      </c>
      <c r="AF43" s="47">
        <f>Z43/AB43</f>
        <v>0</v>
      </c>
    </row>
    <row r="44" spans="1:32" ht="96.6" x14ac:dyDescent="0.3">
      <c r="A44" s="34">
        <v>138</v>
      </c>
      <c r="B44" s="28" t="s">
        <v>453</v>
      </c>
      <c r="C44" s="28" t="s">
        <v>454</v>
      </c>
      <c r="D44" s="28" t="s">
        <v>24</v>
      </c>
      <c r="E44" s="28" t="s">
        <v>436</v>
      </c>
      <c r="F44" s="28" t="s">
        <v>455</v>
      </c>
      <c r="G44" s="55" t="s">
        <v>15</v>
      </c>
      <c r="H44" s="44" t="s">
        <v>15</v>
      </c>
      <c r="I44" s="45" t="str">
        <f>CONCATENATE("SUM(CASE WHEN (MCS.",F44," IN (' ', '~') OR MCS.",F44, " IS NULL) THEN 1 ELSE 0 END) AS ",F44,",")</f>
        <v>SUM(CASE WHEN (MCS.CLM_TYPE_SRVC_CD IN (' ', '~') OR MCS.CLM_TYPE_SRVC_CD IS NULL) THEN 1 ELSE 0 END) AS CLM_TYPE_SRVC_CD,</v>
      </c>
      <c r="J44" s="28" t="s">
        <v>455</v>
      </c>
      <c r="K44" s="46" t="s">
        <v>861</v>
      </c>
      <c r="L44" s="46">
        <v>0</v>
      </c>
      <c r="M44" s="46">
        <v>135449900</v>
      </c>
      <c r="N44" s="47">
        <f xml:space="preserve"> 1 -O44</f>
        <v>1</v>
      </c>
      <c r="O44" s="48">
        <f>L44/M44</f>
        <v>0</v>
      </c>
      <c r="P44" s="28" t="s">
        <v>455</v>
      </c>
      <c r="Q44" s="48"/>
      <c r="R44" s="48"/>
      <c r="S44" s="54"/>
      <c r="T44" s="48"/>
      <c r="U44" s="48"/>
      <c r="V44" s="24" t="s">
        <v>455</v>
      </c>
      <c r="W44" s="53" t="s">
        <v>861</v>
      </c>
      <c r="X44" s="53" t="s">
        <v>861</v>
      </c>
      <c r="Y44" s="59">
        <v>290</v>
      </c>
      <c r="Z44" s="57">
        <v>3920</v>
      </c>
      <c r="AA44" s="57">
        <v>191518</v>
      </c>
      <c r="AB44" s="57">
        <v>146028028</v>
      </c>
      <c r="AC44" s="47">
        <f>1 - AD44</f>
        <v>0.9984857820152675</v>
      </c>
      <c r="AD44" s="47">
        <f>Y44/AA44</f>
        <v>1.5142179847325056E-3</v>
      </c>
      <c r="AE44" s="47">
        <f>1 - AF44</f>
        <v>0.99997315583827506</v>
      </c>
      <c r="AF44" s="47">
        <f>Z44/AB44</f>
        <v>2.6844161724898456E-5</v>
      </c>
    </row>
    <row r="45" spans="1:32" ht="55.2" x14ac:dyDescent="0.3">
      <c r="A45" s="34">
        <v>7</v>
      </c>
      <c r="B45" s="28" t="s">
        <v>29</v>
      </c>
      <c r="C45" s="28" t="s">
        <v>30</v>
      </c>
      <c r="D45" s="28" t="s">
        <v>24</v>
      </c>
      <c r="E45" s="28" t="s">
        <v>31</v>
      </c>
      <c r="F45" s="28" t="s">
        <v>32</v>
      </c>
      <c r="G45" s="44" t="s">
        <v>15</v>
      </c>
      <c r="H45" s="44" t="s">
        <v>15</v>
      </c>
      <c r="I45" s="45" t="str">
        <f>CONCATENATE("SUM(CASE WHEN (",F45, " IS NULL) THEN 1 ELSE 0 END) AS ",F45,",")</f>
        <v>SUM(CASE WHEN (CLM_TYPE_CD IS NULL) THEN 1 ELSE 0 END) AS CLM_TYPE_CD,</v>
      </c>
      <c r="J45" s="28" t="s">
        <v>32</v>
      </c>
      <c r="K45" s="46" t="s">
        <v>861</v>
      </c>
      <c r="L45" s="46">
        <v>0</v>
      </c>
      <c r="M45" s="46">
        <v>67078797</v>
      </c>
      <c r="N45" s="47">
        <f xml:space="preserve"> 1 -O45</f>
        <v>1</v>
      </c>
      <c r="O45" s="48">
        <f>L45/M45</f>
        <v>0</v>
      </c>
      <c r="P45" s="49" t="s">
        <v>32</v>
      </c>
      <c r="Q45" s="50"/>
      <c r="R45" s="51">
        <v>0</v>
      </c>
      <c r="S45" s="54"/>
      <c r="T45" s="48"/>
      <c r="U45" s="48"/>
      <c r="V45" s="43" t="s">
        <v>32</v>
      </c>
      <c r="W45" s="46" t="s">
        <v>861</v>
      </c>
      <c r="X45" s="46" t="s">
        <v>861</v>
      </c>
      <c r="Y45" s="46">
        <v>0</v>
      </c>
      <c r="Z45" s="46">
        <v>0</v>
      </c>
      <c r="AA45" s="46">
        <v>89974</v>
      </c>
      <c r="AB45" s="46">
        <v>71615601</v>
      </c>
      <c r="AC45" s="47">
        <f>1 - AD45</f>
        <v>1</v>
      </c>
      <c r="AD45" s="47">
        <f>Y45/AA45</f>
        <v>0</v>
      </c>
      <c r="AE45" s="47">
        <f>1 - AF45</f>
        <v>1</v>
      </c>
      <c r="AF45" s="47">
        <f>Z45/AB45</f>
        <v>0</v>
      </c>
    </row>
    <row r="46" spans="1:32" ht="82.8" x14ac:dyDescent="0.3">
      <c r="A46" s="34">
        <v>35</v>
      </c>
      <c r="B46" s="28" t="s">
        <v>116</v>
      </c>
      <c r="C46" s="28" t="s">
        <v>117</v>
      </c>
      <c r="D46" s="28" t="s">
        <v>54</v>
      </c>
      <c r="E46" s="43" t="s">
        <v>55</v>
      </c>
      <c r="F46" s="43" t="s">
        <v>118</v>
      </c>
      <c r="G46" s="44" t="s">
        <v>15</v>
      </c>
      <c r="H46" s="44" t="s">
        <v>15</v>
      </c>
      <c r="I46" s="45" t="str">
        <f>CONCATENATE("SUM(CASE WHEN (MCS.",F46, " IS NULL) THEN 1 ELSE 0 END) AS ",F46,",")</f>
        <v>SUM(CASE WHEN (MCS.CLM_TRNSMSN_TO_CMS_DT IS NULL) THEN 1 ELSE 0 END) AS CLM_TRNSMSN_TO_CMS_DT,</v>
      </c>
      <c r="J46" s="43" t="s">
        <v>118</v>
      </c>
      <c r="K46" s="46" t="s">
        <v>861</v>
      </c>
      <c r="L46" s="46">
        <v>0</v>
      </c>
      <c r="M46" s="46">
        <v>67078797</v>
      </c>
      <c r="N46" s="47">
        <f xml:space="preserve"> 1 -O46</f>
        <v>1</v>
      </c>
      <c r="O46" s="48">
        <f>L46/M46</f>
        <v>0</v>
      </c>
      <c r="P46" s="43" t="s">
        <v>118</v>
      </c>
      <c r="Q46" s="48"/>
      <c r="R46" s="48"/>
      <c r="S46" s="54"/>
      <c r="T46" s="48"/>
      <c r="U46" s="48"/>
      <c r="V46" s="43" t="s">
        <v>118</v>
      </c>
      <c r="W46" s="46" t="s">
        <v>861</v>
      </c>
      <c r="X46" s="46" t="s">
        <v>861</v>
      </c>
      <c r="Y46" s="46">
        <v>0</v>
      </c>
      <c r="Z46" s="46">
        <v>0</v>
      </c>
      <c r="AA46" s="46">
        <v>89974</v>
      </c>
      <c r="AB46" s="46">
        <v>71615601</v>
      </c>
      <c r="AC46" s="47">
        <f>1 - AD46</f>
        <v>1</v>
      </c>
      <c r="AD46" s="47">
        <f>Y46/AA46</f>
        <v>0</v>
      </c>
      <c r="AE46" s="47">
        <f>1 - AF46</f>
        <v>1</v>
      </c>
      <c r="AF46" s="47">
        <f>Z46/AB46</f>
        <v>0</v>
      </c>
    </row>
    <row r="47" spans="1:32" ht="69" x14ac:dyDescent="0.3">
      <c r="A47" s="34">
        <v>25</v>
      </c>
      <c r="B47" s="28" t="s">
        <v>86</v>
      </c>
      <c r="C47" s="28" t="s">
        <v>87</v>
      </c>
      <c r="D47" s="28" t="s">
        <v>24</v>
      </c>
      <c r="E47" s="28" t="s">
        <v>31</v>
      </c>
      <c r="F47" s="28" t="s">
        <v>88</v>
      </c>
      <c r="G47" s="28" t="s">
        <v>860</v>
      </c>
      <c r="H47" s="44" t="s">
        <v>15</v>
      </c>
      <c r="I47" s="45" t="str">
        <f>CONCATENATE("SUM(CASE WHEN (",F47, " IS NULL) THEN 1 ELSE 0 END) AS ",F47,",")</f>
        <v>SUM(CASE WHEN (CLM_TOT_LINE_CNT IS NULL) THEN 1 ELSE 0 END) AS CLM_TOT_LINE_CNT,</v>
      </c>
      <c r="J47" s="28" t="s">
        <v>88</v>
      </c>
      <c r="K47" s="46" t="s">
        <v>861</v>
      </c>
      <c r="L47" s="46">
        <v>0</v>
      </c>
      <c r="M47" s="46">
        <v>67078797</v>
      </c>
      <c r="N47" s="47">
        <f xml:space="preserve"> 1 -O47</f>
        <v>1</v>
      </c>
      <c r="O47" s="48">
        <f>L47/M47</f>
        <v>0</v>
      </c>
      <c r="P47" s="49" t="s">
        <v>88</v>
      </c>
      <c r="Q47" s="50"/>
      <c r="R47" s="51">
        <v>0</v>
      </c>
      <c r="S47" s="54"/>
      <c r="T47" s="48"/>
      <c r="U47" s="48"/>
      <c r="V47" s="43" t="s">
        <v>88</v>
      </c>
      <c r="W47" s="46" t="s">
        <v>861</v>
      </c>
      <c r="X47" s="46" t="s">
        <v>861</v>
      </c>
      <c r="Y47" s="46">
        <v>0</v>
      </c>
      <c r="Z47" s="46">
        <v>0</v>
      </c>
      <c r="AA47" s="46">
        <v>89974</v>
      </c>
      <c r="AB47" s="46">
        <v>71615601</v>
      </c>
      <c r="AC47" s="47">
        <f>1 - AD47</f>
        <v>1</v>
      </c>
      <c r="AD47" s="47">
        <f>Y47/AA47</f>
        <v>0</v>
      </c>
      <c r="AE47" s="47">
        <f>1 - AF47</f>
        <v>1</v>
      </c>
      <c r="AF47" s="47">
        <f>Z47/AB47</f>
        <v>0</v>
      </c>
    </row>
    <row r="48" spans="1:32" ht="55.2" x14ac:dyDescent="0.3">
      <c r="A48" s="34">
        <v>16</v>
      </c>
      <c r="B48" s="43" t="s">
        <v>58</v>
      </c>
      <c r="C48" s="28" t="s">
        <v>60</v>
      </c>
      <c r="D48" s="43" t="s">
        <v>24</v>
      </c>
      <c r="E48" s="28" t="s">
        <v>31</v>
      </c>
      <c r="F48" s="43" t="s">
        <v>60</v>
      </c>
      <c r="G48" s="44" t="s">
        <v>15</v>
      </c>
      <c r="H48" s="44" t="s">
        <v>15</v>
      </c>
      <c r="I48" s="45" t="str">
        <f>CONCATENATE("SUM(CASE WHEN (",F48, " IS NULL) THEN 1 ELSE 0 END) AS ",F48,",")</f>
        <v>SUM(CASE WHEN (CLM_THRU_DT IS NULL) THEN 1 ELSE 0 END) AS CLM_THRU_DT,</v>
      </c>
      <c r="J48" s="43" t="s">
        <v>60</v>
      </c>
      <c r="K48" s="46" t="s">
        <v>861</v>
      </c>
      <c r="L48" s="46">
        <v>0</v>
      </c>
      <c r="M48" s="46">
        <v>67078797</v>
      </c>
      <c r="N48" s="47">
        <f xml:space="preserve"> 1 -O48</f>
        <v>1</v>
      </c>
      <c r="O48" s="48">
        <f>L48/M48</f>
        <v>0</v>
      </c>
      <c r="P48" s="49" t="s">
        <v>60</v>
      </c>
      <c r="Q48" s="50"/>
      <c r="R48" s="51">
        <v>0</v>
      </c>
      <c r="S48" s="54"/>
      <c r="T48" s="48"/>
      <c r="U48" s="48"/>
      <c r="V48" s="43" t="s">
        <v>60</v>
      </c>
      <c r="W48" s="46" t="s">
        <v>861</v>
      </c>
      <c r="X48" s="46" t="s">
        <v>861</v>
      </c>
      <c r="Y48" s="46">
        <v>0</v>
      </c>
      <c r="Z48" s="46">
        <v>0</v>
      </c>
      <c r="AA48" s="46">
        <v>89974</v>
      </c>
      <c r="AB48" s="46">
        <v>71615601</v>
      </c>
      <c r="AC48" s="47">
        <f>1 - AD48</f>
        <v>1</v>
      </c>
      <c r="AD48" s="47">
        <f>Y48/AA48</f>
        <v>0</v>
      </c>
      <c r="AE48" s="47">
        <f>1 - AF48</f>
        <v>1</v>
      </c>
      <c r="AF48" s="47">
        <f>Z48/AB48</f>
        <v>0</v>
      </c>
    </row>
    <row r="49" spans="1:32" ht="55.2" x14ac:dyDescent="0.3">
      <c r="A49" s="34">
        <v>16</v>
      </c>
      <c r="B49" s="43" t="s">
        <v>58</v>
      </c>
      <c r="C49" s="28" t="s">
        <v>59</v>
      </c>
      <c r="D49" s="28" t="s">
        <v>54</v>
      </c>
      <c r="E49" s="43" t="s">
        <v>55</v>
      </c>
      <c r="F49" s="43" t="s">
        <v>60</v>
      </c>
      <c r="G49" s="44" t="s">
        <v>15</v>
      </c>
      <c r="H49" s="44" t="s">
        <v>15</v>
      </c>
      <c r="I49" s="45" t="str">
        <f>CONCATENATE("SUM(CASE WHEN (MCS.",F49, " IS NULL) THEN 1 ELSE 0 END) AS ",F49,",")</f>
        <v>SUM(CASE WHEN (MCS.CLM_THRU_DT IS NULL) THEN 1 ELSE 0 END) AS CLM_THRU_DT,</v>
      </c>
      <c r="J49" s="43" t="s">
        <v>60</v>
      </c>
      <c r="K49" s="46" t="s">
        <v>861</v>
      </c>
      <c r="L49" s="46">
        <v>0</v>
      </c>
      <c r="M49" s="46">
        <v>67078797</v>
      </c>
      <c r="N49" s="47">
        <f xml:space="preserve"> 1 -O49</f>
        <v>1</v>
      </c>
      <c r="O49" s="48">
        <f>L49/M49</f>
        <v>0</v>
      </c>
      <c r="P49" s="43" t="s">
        <v>60</v>
      </c>
      <c r="Q49" s="48"/>
      <c r="R49" s="48"/>
      <c r="S49" s="54"/>
      <c r="T49" s="48"/>
      <c r="U49" s="48"/>
      <c r="V49" s="43" t="s">
        <v>60</v>
      </c>
      <c r="W49" s="46" t="s">
        <v>861</v>
      </c>
      <c r="X49" s="46" t="s">
        <v>861</v>
      </c>
      <c r="Y49" s="46">
        <v>0</v>
      </c>
      <c r="Z49" s="46">
        <v>0</v>
      </c>
      <c r="AA49" s="46">
        <v>89974</v>
      </c>
      <c r="AB49" s="46">
        <v>71615601</v>
      </c>
      <c r="AC49" s="47">
        <f>1 - AD49</f>
        <v>1</v>
      </c>
      <c r="AD49" s="47">
        <f>Y49/AA49</f>
        <v>0</v>
      </c>
      <c r="AE49" s="47">
        <f>1 - AF49</f>
        <v>1</v>
      </c>
      <c r="AF49" s="47">
        <f>Z49/AB49</f>
        <v>0</v>
      </c>
    </row>
    <row r="50" spans="1:32" ht="69" x14ac:dyDescent="0.3">
      <c r="A50" s="34">
        <v>33</v>
      </c>
      <c r="B50" s="28" t="s">
        <v>109</v>
      </c>
      <c r="C50" s="28" t="s">
        <v>110</v>
      </c>
      <c r="D50" s="28" t="s">
        <v>54</v>
      </c>
      <c r="E50" s="28" t="s">
        <v>55</v>
      </c>
      <c r="F50" s="28" t="s">
        <v>111</v>
      </c>
      <c r="G50" s="44" t="s">
        <v>15</v>
      </c>
      <c r="H50" s="44" t="s">
        <v>15</v>
      </c>
      <c r="I50" s="45" t="str">
        <f>CONCATENATE("SUM(CASE WHEN (MCS.",F50, " IS NULL) THEN 1 ELSE 0 END) AS ",F50,",")</f>
        <v>SUM(CASE WHEN (MCS.CLM_SUBMSN_DT IS NULL) THEN 1 ELSE 0 END) AS CLM_SUBMSN_DT,</v>
      </c>
      <c r="J50" s="28" t="s">
        <v>111</v>
      </c>
      <c r="K50" s="46" t="s">
        <v>861</v>
      </c>
      <c r="L50" s="46">
        <v>0</v>
      </c>
      <c r="M50" s="46">
        <v>67078797</v>
      </c>
      <c r="N50" s="47">
        <f xml:space="preserve"> 1 -O50</f>
        <v>1</v>
      </c>
      <c r="O50" s="48">
        <f>L50/M50</f>
        <v>0</v>
      </c>
      <c r="P50" s="28" t="s">
        <v>111</v>
      </c>
      <c r="Q50" s="48"/>
      <c r="R50" s="48"/>
      <c r="S50" s="54"/>
      <c r="T50" s="48"/>
      <c r="U50" s="48"/>
      <c r="V50" s="43" t="s">
        <v>111</v>
      </c>
      <c r="W50" s="46" t="s">
        <v>861</v>
      </c>
      <c r="X50" s="46" t="s">
        <v>861</v>
      </c>
      <c r="Y50" s="46">
        <v>0</v>
      </c>
      <c r="Z50" s="46">
        <v>0</v>
      </c>
      <c r="AA50" s="46">
        <v>89974</v>
      </c>
      <c r="AB50" s="46">
        <v>71615601</v>
      </c>
      <c r="AC50" s="47">
        <f>1 - AD50</f>
        <v>1</v>
      </c>
      <c r="AD50" s="47">
        <f>Y50/AA50</f>
        <v>0</v>
      </c>
      <c r="AE50" s="47">
        <f>1 - AF50</f>
        <v>1</v>
      </c>
      <c r="AF50" s="47">
        <f>Z50/AB50</f>
        <v>0</v>
      </c>
    </row>
    <row r="51" spans="1:32" ht="138" x14ac:dyDescent="0.3">
      <c r="A51" s="34">
        <v>136</v>
      </c>
      <c r="B51" s="28" t="s">
        <v>444</v>
      </c>
      <c r="C51" s="28" t="s">
        <v>445</v>
      </c>
      <c r="D51" s="43" t="s">
        <v>447</v>
      </c>
      <c r="E51" s="28" t="s">
        <v>31</v>
      </c>
      <c r="F51" s="43" t="s">
        <v>448</v>
      </c>
      <c r="G51" s="28" t="s">
        <v>449</v>
      </c>
      <c r="H51" s="44" t="s">
        <v>15</v>
      </c>
      <c r="I51" s="45" t="str">
        <f>CONCATENATE("SUM(CASE WHEN (",F51, " IS NULL) THEN 1 ELSE 0 END) AS ",F51,",")</f>
        <v>SUM(CASE WHEN (CLM_SRVC_UNIT_QTY IS NULL) THEN 1 ELSE 0 END) AS CLM_SRVC_UNIT_QTY,</v>
      </c>
      <c r="J51" s="43" t="s">
        <v>448</v>
      </c>
      <c r="K51" s="46" t="s">
        <v>862</v>
      </c>
      <c r="L51" s="46">
        <v>67078797</v>
      </c>
      <c r="M51" s="46">
        <v>67078797</v>
      </c>
      <c r="N51" s="47">
        <f xml:space="preserve"> 1 -O51</f>
        <v>0</v>
      </c>
      <c r="O51" s="48">
        <f>L51/M51</f>
        <v>1</v>
      </c>
      <c r="P51" s="49" t="s">
        <v>448</v>
      </c>
      <c r="Q51" s="50"/>
      <c r="R51" s="51">
        <v>67126071</v>
      </c>
      <c r="S51" s="54"/>
      <c r="T51" s="48"/>
      <c r="U51" s="48"/>
      <c r="V51" s="43" t="s">
        <v>448</v>
      </c>
      <c r="W51" s="46" t="s">
        <v>861</v>
      </c>
      <c r="X51" s="46" t="s">
        <v>861</v>
      </c>
      <c r="Y51" s="46">
        <v>0</v>
      </c>
      <c r="Z51" s="46">
        <v>0</v>
      </c>
      <c r="AA51" s="46">
        <v>89974</v>
      </c>
      <c r="AB51" s="46">
        <v>71615601</v>
      </c>
      <c r="AC51" s="47">
        <f>1 - AD51</f>
        <v>1</v>
      </c>
      <c r="AD51" s="47">
        <f>Y51/AA51</f>
        <v>0</v>
      </c>
      <c r="AE51" s="47">
        <f>1 - AF51</f>
        <v>1</v>
      </c>
      <c r="AF51" s="47">
        <f>Z51/AB51</f>
        <v>0</v>
      </c>
    </row>
    <row r="52" spans="1:32" ht="110.4" x14ac:dyDescent="0.3">
      <c r="A52" s="34">
        <v>93</v>
      </c>
      <c r="B52" s="43" t="s">
        <v>310</v>
      </c>
      <c r="C52" s="43" t="s">
        <v>311</v>
      </c>
      <c r="D52" s="43" t="s">
        <v>187</v>
      </c>
      <c r="E52" s="28" t="s">
        <v>31</v>
      </c>
      <c r="F52" s="43" t="s">
        <v>312</v>
      </c>
      <c r="G52" s="43" t="s">
        <v>860</v>
      </c>
      <c r="H52" s="44" t="s">
        <v>15</v>
      </c>
      <c r="I52" s="45" t="str">
        <f>CONCATENATE("SUM(CASE WHEN ",F52," IN (' ', '~') OR ",F52, " IS NULL THEN 1 ELSE 0 END) AS ",F52,",")</f>
        <v>SUM(CASE WHEN CLM_SRVC_PRVDR_NPI_NUM IN (' ', '~') OR CLM_SRVC_PRVDR_NPI_NUM IS NULL THEN 1 ELSE 0 END) AS CLM_SRVC_PRVDR_NPI_NUM,</v>
      </c>
      <c r="J52" s="43" t="s">
        <v>312</v>
      </c>
      <c r="K52" s="46" t="s">
        <v>861</v>
      </c>
      <c r="L52" s="46">
        <v>35110223</v>
      </c>
      <c r="M52" s="46">
        <v>67078797</v>
      </c>
      <c r="N52" s="47">
        <f xml:space="preserve"> 1 -O52</f>
        <v>0.47658239905524846</v>
      </c>
      <c r="O52" s="48">
        <f>L52/M52</f>
        <v>0.52341760094475154</v>
      </c>
      <c r="P52" s="49" t="s">
        <v>312</v>
      </c>
      <c r="Q52" s="50"/>
      <c r="R52" s="51">
        <v>35136439</v>
      </c>
      <c r="S52" s="54"/>
      <c r="T52" s="48"/>
      <c r="U52" s="48"/>
      <c r="V52" s="43" t="s">
        <v>312</v>
      </c>
      <c r="W52" s="46" t="s">
        <v>862</v>
      </c>
      <c r="X52" s="46" t="s">
        <v>862</v>
      </c>
      <c r="Y52" s="46">
        <v>89974</v>
      </c>
      <c r="Z52" s="46">
        <v>71615601</v>
      </c>
      <c r="AA52" s="46">
        <v>89974</v>
      </c>
      <c r="AB52" s="46">
        <v>71615601</v>
      </c>
      <c r="AC52" s="47">
        <f>1 - AD52</f>
        <v>0</v>
      </c>
      <c r="AD52" s="47">
        <f>Y52/AA52</f>
        <v>1</v>
      </c>
      <c r="AE52" s="47">
        <f>1 - AF52</f>
        <v>0</v>
      </c>
      <c r="AF52" s="47">
        <f>Z52/AB52</f>
        <v>1</v>
      </c>
    </row>
    <row r="53" spans="1:32" ht="82.8" x14ac:dyDescent="0.3">
      <c r="A53" s="34">
        <v>169</v>
      </c>
      <c r="B53" s="28" t="s">
        <v>547</v>
      </c>
      <c r="C53" s="28" t="s">
        <v>548</v>
      </c>
      <c r="D53" s="28" t="s">
        <v>24</v>
      </c>
      <c r="E53" s="28" t="s">
        <v>436</v>
      </c>
      <c r="F53" s="43" t="s">
        <v>549</v>
      </c>
      <c r="G53" s="44" t="s">
        <v>15</v>
      </c>
      <c r="H53" s="44" t="s">
        <v>15</v>
      </c>
      <c r="I53" s="45" t="str">
        <f>CONCATENATE("SUM(CASE WHEN (MCS.",F53, " IS NULL) THEN 1 ELSE 0 END) AS ",F53,",")</f>
        <v>SUM(CASE WHEN (MCS.CLM_SRVC_DDCTBL_SW IS NULL) THEN 1 ELSE 0 END) AS CLM_SRVC_DDCTBL_SW,</v>
      </c>
      <c r="J53" s="43" t="s">
        <v>549</v>
      </c>
      <c r="K53" s="46" t="s">
        <v>861</v>
      </c>
      <c r="L53" s="46">
        <v>0</v>
      </c>
      <c r="M53" s="46">
        <v>135449900</v>
      </c>
      <c r="N53" s="47">
        <f xml:space="preserve"> 1 -O53</f>
        <v>1</v>
      </c>
      <c r="O53" s="48">
        <f>L53/M53</f>
        <v>0</v>
      </c>
      <c r="P53" s="43" t="s">
        <v>549</v>
      </c>
      <c r="Q53" s="48"/>
      <c r="R53" s="48"/>
      <c r="S53" s="54"/>
      <c r="T53" s="48"/>
      <c r="U53" s="48"/>
      <c r="V53" s="24" t="s">
        <v>549</v>
      </c>
      <c r="W53" s="58" t="s">
        <v>861</v>
      </c>
      <c r="X53" s="58" t="s">
        <v>861</v>
      </c>
      <c r="Y53" s="59">
        <v>0</v>
      </c>
      <c r="Z53" s="59">
        <v>0</v>
      </c>
      <c r="AA53" s="57">
        <v>191518</v>
      </c>
      <c r="AB53" s="57">
        <v>146028028</v>
      </c>
      <c r="AC53" s="47">
        <f>1 - AD53</f>
        <v>1</v>
      </c>
      <c r="AD53" s="47">
        <v>0</v>
      </c>
      <c r="AE53" s="47">
        <f>1 - AF53</f>
        <v>1</v>
      </c>
      <c r="AF53" s="47">
        <v>0</v>
      </c>
    </row>
    <row r="54" spans="1:32" ht="96.6" x14ac:dyDescent="0.3">
      <c r="A54" s="34">
        <v>24</v>
      </c>
      <c r="B54" s="28" t="s">
        <v>83</v>
      </c>
      <c r="C54" s="28" t="s">
        <v>84</v>
      </c>
      <c r="D54" s="28" t="s">
        <v>24</v>
      </c>
      <c r="E54" s="66" t="s">
        <v>46</v>
      </c>
      <c r="F54" s="66" t="s">
        <v>85</v>
      </c>
      <c r="G54" s="67" t="s">
        <v>15</v>
      </c>
      <c r="H54" s="67" t="s">
        <v>15</v>
      </c>
      <c r="I54" s="68" t="str">
        <f>CONCATENATE("SUM(CASE WHEN (MCS.",F54," IN (' ', '~') OR MCS.",F54, " IS NULL) THEN 1 ELSE 0 END) AS ",F54,",")</f>
        <v>SUM(CASE WHEN (MCS.CLM_SGMT_NUM IN (' ', '~') OR MCS.CLM_SGMT_NUM IS NULL) THEN 1 ELSE 0 END) AS CLM_SGMT_NUM,</v>
      </c>
      <c r="J54" s="66" t="s">
        <v>85</v>
      </c>
      <c r="K54" s="69"/>
      <c r="L54" s="69"/>
      <c r="M54" s="69"/>
      <c r="N54" s="69"/>
      <c r="O54" s="70"/>
      <c r="P54" s="66" t="s">
        <v>85</v>
      </c>
      <c r="Q54" s="70"/>
      <c r="R54" s="70"/>
      <c r="S54" s="71"/>
      <c r="T54" s="70"/>
      <c r="U54" s="70"/>
      <c r="V54" s="68"/>
      <c r="W54" s="69"/>
      <c r="X54" s="69"/>
      <c r="Y54" s="69"/>
      <c r="Z54" s="69"/>
      <c r="AA54" s="69"/>
      <c r="AB54" s="69"/>
      <c r="AC54" s="69"/>
      <c r="AD54" s="69"/>
      <c r="AE54" s="69"/>
      <c r="AF54" s="69"/>
    </row>
    <row r="55" spans="1:32" ht="69" x14ac:dyDescent="0.3">
      <c r="A55" s="34">
        <v>34</v>
      </c>
      <c r="B55" s="28" t="s">
        <v>112</v>
      </c>
      <c r="C55" s="28" t="s">
        <v>113</v>
      </c>
      <c r="D55" s="28" t="s">
        <v>54</v>
      </c>
      <c r="E55" s="28" t="s">
        <v>55</v>
      </c>
      <c r="F55" s="43" t="s">
        <v>114</v>
      </c>
      <c r="G55" s="44" t="s">
        <v>15</v>
      </c>
      <c r="H55" s="44" t="s">
        <v>15</v>
      </c>
      <c r="I55" s="45" t="str">
        <f>CONCATENATE("SUM(CASE WHEN (MCS.",F55, " IS NULL) THEN 1 ELSE 0 END) AS ",F55,",")</f>
        <v>SUM(CASE WHEN (MCS.CLM_SCHLD_PMT_DT IS NULL) THEN 1 ELSE 0 END) AS CLM_SCHLD_PMT_DT,</v>
      </c>
      <c r="J55" s="43" t="s">
        <v>114</v>
      </c>
      <c r="K55" s="46" t="s">
        <v>861</v>
      </c>
      <c r="L55" s="46">
        <v>0</v>
      </c>
      <c r="M55" s="46">
        <v>67078797</v>
      </c>
      <c r="N55" s="47">
        <f xml:space="preserve"> 1 -O55</f>
        <v>1</v>
      </c>
      <c r="O55" s="48">
        <f>L55/M55</f>
        <v>0</v>
      </c>
      <c r="P55" s="43" t="s">
        <v>114</v>
      </c>
      <c r="Q55" s="48"/>
      <c r="R55" s="48"/>
      <c r="S55" s="54"/>
      <c r="T55" s="48"/>
      <c r="U55" s="48"/>
      <c r="V55" s="43" t="s">
        <v>114</v>
      </c>
      <c r="W55" s="46" t="s">
        <v>861</v>
      </c>
      <c r="X55" s="46" t="s">
        <v>861</v>
      </c>
      <c r="Y55" s="46">
        <v>0</v>
      </c>
      <c r="Z55" s="46">
        <v>0</v>
      </c>
      <c r="AA55" s="46">
        <v>89974</v>
      </c>
      <c r="AB55" s="46">
        <v>71615601</v>
      </c>
      <c r="AC55" s="47">
        <f>1 - AD55</f>
        <v>1</v>
      </c>
      <c r="AD55" s="47">
        <f>Y55/AA55</f>
        <v>0</v>
      </c>
      <c r="AE55" s="47">
        <f>1 - AF55</f>
        <v>1</v>
      </c>
      <c r="AF55" s="47">
        <f>Z55/AB55</f>
        <v>0</v>
      </c>
    </row>
    <row r="56" spans="1:32" ht="124.2" x14ac:dyDescent="0.3">
      <c r="A56" s="34">
        <v>84</v>
      </c>
      <c r="B56" s="43" t="s">
        <v>267</v>
      </c>
      <c r="C56" s="43" t="s">
        <v>268</v>
      </c>
      <c r="D56" s="43" t="s">
        <v>24</v>
      </c>
      <c r="E56" s="28" t="s">
        <v>25</v>
      </c>
      <c r="F56" s="43" t="s">
        <v>269</v>
      </c>
      <c r="G56" s="43" t="s">
        <v>860</v>
      </c>
      <c r="H56" s="44" t="s">
        <v>15</v>
      </c>
      <c r="I56" s="45" t="str">
        <f>CONCATENATE("SUM(CASE WHEN (MCS.",F56," IN (' ', '~') OR MCS.",F56, " IS NULL) THEN 1 ELSE 0 END) AS ",F56,",")</f>
        <v>SUM(CASE WHEN (MCS.CLM_SBMTD_BENE_ID_TYPE_CD IN (' ', '~') OR MCS.CLM_SBMTD_BENE_ID_TYPE_CD IS NULL) THEN 1 ELSE 0 END) AS CLM_SBMTD_BENE_ID_TYPE_CD,</v>
      </c>
      <c r="J56" s="43" t="s">
        <v>269</v>
      </c>
      <c r="K56" s="46" t="s">
        <v>861</v>
      </c>
      <c r="L56" s="46">
        <v>0</v>
      </c>
      <c r="M56" s="46">
        <v>67078797</v>
      </c>
      <c r="N56" s="47">
        <f xml:space="preserve"> 1 -O56</f>
        <v>1</v>
      </c>
      <c r="O56" s="48">
        <f>L56/M56</f>
        <v>0</v>
      </c>
      <c r="P56" s="43" t="s">
        <v>269</v>
      </c>
      <c r="Q56" s="48"/>
      <c r="R56" s="48"/>
      <c r="S56" s="56">
        <v>67126071</v>
      </c>
      <c r="T56" s="48"/>
      <c r="U56" s="48"/>
      <c r="V56" s="43" t="s">
        <v>269</v>
      </c>
      <c r="W56" s="46" t="s">
        <v>861</v>
      </c>
      <c r="X56" s="46" t="s">
        <v>861</v>
      </c>
      <c r="Y56" s="46">
        <v>0</v>
      </c>
      <c r="Z56" s="46">
        <v>2</v>
      </c>
      <c r="AA56" s="46">
        <v>89974</v>
      </c>
      <c r="AB56" s="46">
        <v>71615601</v>
      </c>
      <c r="AC56" s="47">
        <f>1 - AD56</f>
        <v>1</v>
      </c>
      <c r="AD56" s="47">
        <f>Y56/AA56</f>
        <v>0</v>
      </c>
      <c r="AE56" s="47">
        <f>1 - AF56</f>
        <v>0.99999997207312408</v>
      </c>
      <c r="AF56" s="47">
        <f>Z56/AB56</f>
        <v>2.7926875877226806E-8</v>
      </c>
    </row>
    <row r="57" spans="1:32" ht="69" x14ac:dyDescent="0.3">
      <c r="A57" s="34">
        <v>60</v>
      </c>
      <c r="B57" s="28" t="s">
        <v>204</v>
      </c>
      <c r="C57" s="28" t="s">
        <v>205</v>
      </c>
      <c r="D57" s="28" t="s">
        <v>24</v>
      </c>
      <c r="E57" s="28" t="s">
        <v>31</v>
      </c>
      <c r="F57" s="28" t="s">
        <v>206</v>
      </c>
      <c r="G57" s="44" t="s">
        <v>15</v>
      </c>
      <c r="H57" s="44" t="s">
        <v>15</v>
      </c>
      <c r="I57" s="45" t="str">
        <f>CONCATENATE("SUM(CASE WHEN (",F57, " IS NULL) THEN 1 ELSE 0 END) AS ",F57,",")</f>
        <v>SUM(CASE WHEN (CLM_SBMT_CHRG_AMT IS NULL) THEN 1 ELSE 0 END) AS CLM_SBMT_CHRG_AMT,</v>
      </c>
      <c r="J57" s="28" t="s">
        <v>206</v>
      </c>
      <c r="K57" s="46" t="s">
        <v>861</v>
      </c>
      <c r="L57" s="46">
        <v>0</v>
      </c>
      <c r="M57" s="46">
        <v>67078797</v>
      </c>
      <c r="N57" s="47">
        <f xml:space="preserve"> 1 -O57</f>
        <v>1</v>
      </c>
      <c r="O57" s="48">
        <f>L57/M57</f>
        <v>0</v>
      </c>
      <c r="P57" s="49" t="s">
        <v>206</v>
      </c>
      <c r="Q57" s="50"/>
      <c r="R57" s="51">
        <v>0</v>
      </c>
      <c r="S57" s="54"/>
      <c r="T57" s="48"/>
      <c r="U57" s="48"/>
      <c r="V57" s="43" t="s">
        <v>206</v>
      </c>
      <c r="W57" s="46" t="s">
        <v>861</v>
      </c>
      <c r="X57" s="46" t="s">
        <v>861</v>
      </c>
      <c r="Y57" s="46">
        <v>0</v>
      </c>
      <c r="Z57" s="46">
        <v>0</v>
      </c>
      <c r="AA57" s="46">
        <v>89974</v>
      </c>
      <c r="AB57" s="46">
        <v>71615601</v>
      </c>
      <c r="AC57" s="47">
        <f>1 - AD57</f>
        <v>1</v>
      </c>
      <c r="AD57" s="47">
        <f>Y57/AA57</f>
        <v>0</v>
      </c>
      <c r="AE57" s="47">
        <f>1 - AF57</f>
        <v>1</v>
      </c>
      <c r="AF57" s="47">
        <f>Z57/AB57</f>
        <v>0</v>
      </c>
    </row>
    <row r="58" spans="1:32" ht="110.4" x14ac:dyDescent="0.3">
      <c r="A58" s="34">
        <v>81</v>
      </c>
      <c r="B58" s="43" t="s">
        <v>258</v>
      </c>
      <c r="C58" s="43" t="s">
        <v>259</v>
      </c>
      <c r="D58" s="43" t="s">
        <v>24</v>
      </c>
      <c r="E58" s="43" t="s">
        <v>25</v>
      </c>
      <c r="F58" s="43" t="s">
        <v>892</v>
      </c>
      <c r="G58" s="43" t="s">
        <v>860</v>
      </c>
      <c r="H58" s="44" t="s">
        <v>15</v>
      </c>
      <c r="I58" s="45" t="str">
        <f>CONCATENATE("SUM(CASE WHEN (MCS.",F58," IN (' ', '~') OR MCS.",F58, " IS NULL) THEN 1 ELSE 0 END) AS ",F58,",")</f>
        <v>SUM(CASE WHEN (MCS.CLM_RSDL_PYMT_IND_CD IN (' ', '~') OR MCS.CLM_RSDL_PYMT_IND_CD IS NULL) THEN 1 ELSE 0 END) AS CLM_RSDL_PYMT_IND_CD,</v>
      </c>
      <c r="J58" s="43" t="s">
        <v>892</v>
      </c>
      <c r="K58" s="46" t="s">
        <v>861</v>
      </c>
      <c r="L58" s="46">
        <v>0</v>
      </c>
      <c r="M58" s="46">
        <v>67078797</v>
      </c>
      <c r="N58" s="47">
        <f xml:space="preserve"> 1 -O58</f>
        <v>1</v>
      </c>
      <c r="O58" s="48">
        <f>L58/M58</f>
        <v>0</v>
      </c>
      <c r="P58" s="43" t="s">
        <v>892</v>
      </c>
      <c r="Q58" s="48"/>
      <c r="R58" s="48"/>
      <c r="S58" s="56">
        <v>67126071</v>
      </c>
      <c r="T58" s="48"/>
      <c r="U58" s="48"/>
      <c r="V58" s="43" t="s">
        <v>892</v>
      </c>
      <c r="W58" s="46" t="s">
        <v>862</v>
      </c>
      <c r="X58" s="46" t="s">
        <v>862</v>
      </c>
      <c r="Y58" s="46">
        <v>89974</v>
      </c>
      <c r="Z58" s="46">
        <v>71615601</v>
      </c>
      <c r="AA58" s="46">
        <v>89974</v>
      </c>
      <c r="AB58" s="46">
        <v>71615601</v>
      </c>
      <c r="AC58" s="47">
        <f>1 - AD58</f>
        <v>0</v>
      </c>
      <c r="AD58" s="47">
        <f>Y58/AA58</f>
        <v>1</v>
      </c>
      <c r="AE58" s="47">
        <f>1 - AF58</f>
        <v>0</v>
      </c>
      <c r="AF58" s="47">
        <f>Z58/AB58</f>
        <v>1</v>
      </c>
    </row>
    <row r="59" spans="1:32" ht="138" x14ac:dyDescent="0.3">
      <c r="A59" s="34">
        <v>225</v>
      </c>
      <c r="B59" s="43" t="s">
        <v>726</v>
      </c>
      <c r="C59" s="28" t="s">
        <v>727</v>
      </c>
      <c r="D59" s="28" t="s">
        <v>24</v>
      </c>
      <c r="E59" s="28" t="s">
        <v>436</v>
      </c>
      <c r="F59" s="28" t="s">
        <v>728</v>
      </c>
      <c r="G59" s="43" t="s">
        <v>729</v>
      </c>
      <c r="H59" s="44" t="s">
        <v>15</v>
      </c>
      <c r="I59" s="45" t="str">
        <f>CONCATENATE("SUM(CASE WHEN (MCS.",F59," IN (' ', '~') OR MCS.",F59, " IS NULL) THEN 1 ELSE 0 END) AS ",F59,",")</f>
        <v>SUM(CASE WHEN (MCS.CLM_RNDRNG_NPI_IN_BLG_GRP_SW IN (' ', '~') OR MCS.CLM_RNDRNG_NPI_IN_BLG_GRP_SW IS NULL) THEN 1 ELSE 0 END) AS CLM_RNDRNG_NPI_IN_BLG_GRP_SW,</v>
      </c>
      <c r="J59" s="28" t="s">
        <v>728</v>
      </c>
      <c r="K59" s="46" t="s">
        <v>861</v>
      </c>
      <c r="L59" s="46">
        <v>0</v>
      </c>
      <c r="M59" s="46">
        <v>135449900</v>
      </c>
      <c r="N59" s="47">
        <f xml:space="preserve"> 1 -O59</f>
        <v>1</v>
      </c>
      <c r="O59" s="48">
        <f>L59/M59</f>
        <v>0</v>
      </c>
      <c r="P59" s="28" t="s">
        <v>728</v>
      </c>
      <c r="Q59" s="48"/>
      <c r="R59" s="48"/>
      <c r="S59" s="54"/>
      <c r="T59" s="48"/>
      <c r="U59" s="48"/>
      <c r="V59" s="24" t="s">
        <v>728</v>
      </c>
      <c r="W59" s="58" t="s">
        <v>861</v>
      </c>
      <c r="X59" s="58" t="s">
        <v>861</v>
      </c>
      <c r="Y59" s="59" t="s">
        <v>908</v>
      </c>
      <c r="Z59" s="59">
        <v>1</v>
      </c>
      <c r="AA59" s="57">
        <v>191518</v>
      </c>
      <c r="AB59" s="57">
        <v>146028028</v>
      </c>
      <c r="AC59" s="47">
        <f>1-AD59%</f>
        <v>1</v>
      </c>
      <c r="AD59" s="47">
        <v>0</v>
      </c>
      <c r="AE59" s="47">
        <f>1 - AF59</f>
        <v>0.99999999315199961</v>
      </c>
      <c r="AF59" s="47">
        <f>Z59/AB59</f>
        <v>6.8480004400251163E-9</v>
      </c>
    </row>
    <row r="60" spans="1:32" ht="124.2" x14ac:dyDescent="0.3">
      <c r="A60" s="34">
        <v>131</v>
      </c>
      <c r="B60" s="28" t="s">
        <v>423</v>
      </c>
      <c r="C60" s="28" t="s">
        <v>424</v>
      </c>
      <c r="D60" s="43" t="s">
        <v>427</v>
      </c>
      <c r="E60" s="43" t="s">
        <v>57</v>
      </c>
      <c r="F60" s="43" t="s">
        <v>428</v>
      </c>
      <c r="G60" s="55" t="s">
        <v>15</v>
      </c>
      <c r="H60" s="44" t="s">
        <v>15</v>
      </c>
      <c r="I60" s="45" t="str">
        <f>CONCATENATE("SUM(CASE WHEN (MCS.",F60," IN (' ', '~') OR MCS.",F60, " IS NULL) THEN 1 ELSE 0 END) AS ",F60,",")</f>
        <v>SUM(CASE WHEN (MCS.CLM_RNDRG_PRVDR_ZIP5_CD IN (' ', '~') OR MCS.CLM_RNDRG_PRVDR_ZIP5_CD IS NULL) THEN 1 ELSE 0 END) AS CLM_RNDRG_PRVDR_ZIP5_CD,</v>
      </c>
      <c r="J60" s="43" t="s">
        <v>428</v>
      </c>
      <c r="K60" s="46" t="s">
        <v>861</v>
      </c>
      <c r="L60" s="46">
        <v>0</v>
      </c>
      <c r="M60" s="46">
        <v>135351338</v>
      </c>
      <c r="N60" s="47">
        <f xml:space="preserve"> 1 -O60</f>
        <v>1</v>
      </c>
      <c r="O60" s="48">
        <f>L60/M60</f>
        <v>0</v>
      </c>
      <c r="P60" s="43" t="s">
        <v>428</v>
      </c>
      <c r="Q60" s="48"/>
      <c r="R60" s="48"/>
      <c r="S60" s="54"/>
      <c r="T60" s="48"/>
      <c r="U60" s="48"/>
      <c r="V60" s="43" t="s">
        <v>428</v>
      </c>
      <c r="W60" s="46" t="s">
        <v>862</v>
      </c>
      <c r="X60" s="46" t="s">
        <v>862</v>
      </c>
      <c r="Y60" s="46">
        <v>191518</v>
      </c>
      <c r="Z60" s="46">
        <v>146028028</v>
      </c>
      <c r="AA60" s="46">
        <v>191518</v>
      </c>
      <c r="AB60" s="46">
        <v>146028028</v>
      </c>
      <c r="AC60" s="47">
        <f>1 - AD60</f>
        <v>0</v>
      </c>
      <c r="AD60" s="47">
        <f>Y60/AA60</f>
        <v>1</v>
      </c>
      <c r="AE60" s="47">
        <f>1 - AF60</f>
        <v>0</v>
      </c>
      <c r="AF60" s="47">
        <f>Z60/AB60</f>
        <v>1</v>
      </c>
    </row>
    <row r="61" spans="1:32" ht="124.2" x14ac:dyDescent="0.3">
      <c r="A61" s="34">
        <v>125</v>
      </c>
      <c r="B61" s="28" t="s">
        <v>403</v>
      </c>
      <c r="C61" s="28" t="s">
        <v>404</v>
      </c>
      <c r="D61" s="28" t="s">
        <v>24</v>
      </c>
      <c r="E61" s="43" t="s">
        <v>57</v>
      </c>
      <c r="F61" s="43" t="s">
        <v>405</v>
      </c>
      <c r="G61" s="44" t="s">
        <v>15</v>
      </c>
      <c r="H61" s="44" t="s">
        <v>15</v>
      </c>
      <c r="I61" s="45" t="str">
        <f>CONCATENATE("SUM(CASE WHEN (MCS.",F61," IN (' ', '~') OR MCS.",F61, " IS NULL) THEN 1 ELSE 0 END) AS ",F61,",")</f>
        <v>SUM(CASE WHEN (MCS.CLM_RNDRG_PRVDR_UPIN_NUM IN (' ', '~') OR MCS.CLM_RNDRG_PRVDR_UPIN_NUM IS NULL) THEN 1 ELSE 0 END) AS CLM_RNDRG_PRVDR_UPIN_NUM,</v>
      </c>
      <c r="J61" s="43" t="s">
        <v>405</v>
      </c>
      <c r="K61" s="46" t="s">
        <v>861</v>
      </c>
      <c r="L61" s="46">
        <v>0</v>
      </c>
      <c r="M61" s="46">
        <v>135351338</v>
      </c>
      <c r="N61" s="47">
        <f xml:space="preserve"> 1 -O61</f>
        <v>1</v>
      </c>
      <c r="O61" s="48">
        <f>L61/M61</f>
        <v>0</v>
      </c>
      <c r="P61" s="43" t="s">
        <v>405</v>
      </c>
      <c r="Q61" s="48"/>
      <c r="R61" s="48"/>
      <c r="S61" s="54"/>
      <c r="T61" s="48"/>
      <c r="U61" s="48"/>
      <c r="V61" s="43" t="s">
        <v>405</v>
      </c>
      <c r="W61" s="46" t="s">
        <v>861</v>
      </c>
      <c r="X61" s="46" t="s">
        <v>861</v>
      </c>
      <c r="Y61" s="46">
        <v>0</v>
      </c>
      <c r="Z61" s="46">
        <v>0</v>
      </c>
      <c r="AA61" s="46">
        <v>191518</v>
      </c>
      <c r="AB61" s="46">
        <v>146028028</v>
      </c>
      <c r="AC61" s="47">
        <f>1 - AD61</f>
        <v>1</v>
      </c>
      <c r="AD61" s="47">
        <f>Y61/AA61</f>
        <v>0</v>
      </c>
      <c r="AE61" s="47">
        <f>1 - AF61</f>
        <v>1</v>
      </c>
      <c r="AF61" s="47">
        <f>Z61/AB61</f>
        <v>0</v>
      </c>
    </row>
    <row r="62" spans="1:32" ht="124.2" x14ac:dyDescent="0.3">
      <c r="A62" s="34">
        <v>128</v>
      </c>
      <c r="B62" s="28" t="s">
        <v>414</v>
      </c>
      <c r="C62" s="28" t="s">
        <v>415</v>
      </c>
      <c r="D62" s="28" t="s">
        <v>24</v>
      </c>
      <c r="E62" s="43" t="s">
        <v>57</v>
      </c>
      <c r="F62" s="43" t="s">
        <v>416</v>
      </c>
      <c r="G62" s="55" t="s">
        <v>15</v>
      </c>
      <c r="H62" s="44" t="s">
        <v>15</v>
      </c>
      <c r="I62" s="45" t="str">
        <f>CONCATENATE("SUM(CASE WHEN (MCS.",F62," IN (' ', '~') OR MCS.",F62, " IS NULL) THEN 1 ELSE 0 END) AS ",F62,",")</f>
        <v>SUM(CASE WHEN (MCS.CLM_RNDRG_PRVDR_TYPE_CD IN (' ', '~') OR MCS.CLM_RNDRG_PRVDR_TYPE_CD IS NULL) THEN 1 ELSE 0 END) AS CLM_RNDRG_PRVDR_TYPE_CD,</v>
      </c>
      <c r="J62" s="43" t="s">
        <v>416</v>
      </c>
      <c r="K62" s="46" t="s">
        <v>861</v>
      </c>
      <c r="L62" s="46">
        <v>0</v>
      </c>
      <c r="M62" s="46">
        <v>135351338</v>
      </c>
      <c r="N62" s="47">
        <f xml:space="preserve"> 1 -O62</f>
        <v>1</v>
      </c>
      <c r="O62" s="48">
        <f>L62/M62</f>
        <v>0</v>
      </c>
      <c r="P62" s="43" t="s">
        <v>416</v>
      </c>
      <c r="Q62" s="48"/>
      <c r="R62" s="48"/>
      <c r="S62" s="54"/>
      <c r="T62" s="48"/>
      <c r="U62" s="48"/>
      <c r="V62" s="43" t="s">
        <v>416</v>
      </c>
      <c r="W62" s="46" t="s">
        <v>861</v>
      </c>
      <c r="X62" s="46" t="s">
        <v>861</v>
      </c>
      <c r="Y62" s="46">
        <v>9339</v>
      </c>
      <c r="Z62" s="46">
        <v>18111</v>
      </c>
      <c r="AA62" s="46">
        <v>191518</v>
      </c>
      <c r="AB62" s="46">
        <v>146028028</v>
      </c>
      <c r="AC62" s="47">
        <f>1 - AD62</f>
        <v>0.95123695945028663</v>
      </c>
      <c r="AD62" s="47">
        <f>Y62/AA62</f>
        <v>4.8763040549713345E-2</v>
      </c>
      <c r="AE62" s="47">
        <f>1 - AF62</f>
        <v>0.99987597586403065</v>
      </c>
      <c r="AF62" s="47">
        <f>Z62/AB62</f>
        <v>1.2402413596929488E-4</v>
      </c>
    </row>
    <row r="63" spans="1:32" ht="124.2" x14ac:dyDescent="0.3">
      <c r="A63" s="34">
        <v>129</v>
      </c>
      <c r="B63" s="28" t="s">
        <v>417</v>
      </c>
      <c r="C63" s="28" t="s">
        <v>418</v>
      </c>
      <c r="D63" s="28" t="s">
        <v>24</v>
      </c>
      <c r="E63" s="43" t="s">
        <v>57</v>
      </c>
      <c r="F63" s="43" t="s">
        <v>419</v>
      </c>
      <c r="G63" s="44" t="s">
        <v>15</v>
      </c>
      <c r="H63" s="44" t="s">
        <v>15</v>
      </c>
      <c r="I63" s="45" t="str">
        <f>CONCATENATE("SUM(CASE WHEN (MCS.",F63," IN (' ', '~') OR MCS.",F63, " IS NULL) THEN 1 ELSE 0 END) AS ",F63,",")</f>
        <v>SUM(CASE WHEN (MCS.CLM_RNDRG_PRVDR_TAX_NUM IN (' ', '~') OR MCS.CLM_RNDRG_PRVDR_TAX_NUM IS NULL) THEN 1 ELSE 0 END) AS CLM_RNDRG_PRVDR_TAX_NUM,</v>
      </c>
      <c r="J63" s="43" t="s">
        <v>419</v>
      </c>
      <c r="K63" s="46" t="s">
        <v>861</v>
      </c>
      <c r="L63" s="46">
        <v>0</v>
      </c>
      <c r="M63" s="46">
        <v>135351338</v>
      </c>
      <c r="N63" s="47">
        <f xml:space="preserve"> 1 -O63</f>
        <v>1</v>
      </c>
      <c r="O63" s="48">
        <f>L63/M63</f>
        <v>0</v>
      </c>
      <c r="P63" s="43" t="s">
        <v>419</v>
      </c>
      <c r="Q63" s="48"/>
      <c r="R63" s="48"/>
      <c r="S63" s="54"/>
      <c r="T63" s="48"/>
      <c r="U63" s="48"/>
      <c r="V63" s="43" t="s">
        <v>419</v>
      </c>
      <c r="W63" s="46" t="s">
        <v>862</v>
      </c>
      <c r="X63" s="46" t="s">
        <v>862</v>
      </c>
      <c r="Y63" s="46">
        <v>191518</v>
      </c>
      <c r="Z63" s="46">
        <v>146028028</v>
      </c>
      <c r="AA63" s="46">
        <v>191518</v>
      </c>
      <c r="AB63" s="46">
        <v>146028028</v>
      </c>
      <c r="AC63" s="47">
        <f>1 - AD63</f>
        <v>0</v>
      </c>
      <c r="AD63" s="47">
        <f>Y63/AA63</f>
        <v>1</v>
      </c>
      <c r="AE63" s="47">
        <f>1 - AF63</f>
        <v>0</v>
      </c>
      <c r="AF63" s="47">
        <f>Z63/AB63</f>
        <v>1</v>
      </c>
    </row>
    <row r="64" spans="1:32" ht="138" x14ac:dyDescent="0.3">
      <c r="A64" s="34">
        <v>134</v>
      </c>
      <c r="B64" s="28" t="s">
        <v>438</v>
      </c>
      <c r="C64" s="28" t="s">
        <v>439</v>
      </c>
      <c r="D64" s="28" t="s">
        <v>24</v>
      </c>
      <c r="E64" s="28" t="s">
        <v>57</v>
      </c>
      <c r="F64" s="43" t="s">
        <v>440</v>
      </c>
      <c r="G64" s="55" t="s">
        <v>15</v>
      </c>
      <c r="H64" s="44" t="s">
        <v>15</v>
      </c>
      <c r="I64" s="45" t="str">
        <f>CONCATENATE("SUM(CASE WHEN (MCS.",F64," IN (' ', '~') OR MCS.",F64, " IS NULL) THEN 1 ELSE 0 END) AS ",F64,",")</f>
        <v>SUM(CASE WHEN (MCS.CLM_RNDRG_PRVDR_PRTCPTG_CD IN (' ', '~') OR MCS.CLM_RNDRG_PRVDR_PRTCPTG_CD IS NULL) THEN 1 ELSE 0 END) AS CLM_RNDRG_PRVDR_PRTCPTG_CD,</v>
      </c>
      <c r="J64" s="43" t="s">
        <v>440</v>
      </c>
      <c r="K64" s="46" t="s">
        <v>861</v>
      </c>
      <c r="L64" s="46">
        <v>0</v>
      </c>
      <c r="M64" s="46">
        <v>135351338</v>
      </c>
      <c r="N64" s="47">
        <f xml:space="preserve"> 1 -O64</f>
        <v>1</v>
      </c>
      <c r="O64" s="48">
        <f>L64/M64</f>
        <v>0</v>
      </c>
      <c r="P64" s="43" t="s">
        <v>440</v>
      </c>
      <c r="Q64" s="48"/>
      <c r="R64" s="48"/>
      <c r="S64" s="54"/>
      <c r="T64" s="48"/>
      <c r="U64" s="48"/>
      <c r="V64" s="43" t="s">
        <v>440</v>
      </c>
      <c r="W64" s="46" t="s">
        <v>862</v>
      </c>
      <c r="X64" s="46" t="s">
        <v>862</v>
      </c>
      <c r="Y64" s="46">
        <v>191518</v>
      </c>
      <c r="Z64" s="46">
        <v>146028028</v>
      </c>
      <c r="AA64" s="46">
        <v>191518</v>
      </c>
      <c r="AB64" s="46">
        <v>146028028</v>
      </c>
      <c r="AC64" s="47">
        <f>1 - AD64</f>
        <v>0</v>
      </c>
      <c r="AD64" s="47">
        <f>Y64/AA64</f>
        <v>1</v>
      </c>
      <c r="AE64" s="47">
        <f>1 - AF64</f>
        <v>0</v>
      </c>
      <c r="AF64" s="47">
        <f>Z64/AB64</f>
        <v>1</v>
      </c>
    </row>
    <row r="65" spans="1:32" ht="124.2" x14ac:dyDescent="0.3">
      <c r="A65" s="34">
        <v>124</v>
      </c>
      <c r="B65" s="28" t="s">
        <v>400</v>
      </c>
      <c r="C65" s="28" t="s">
        <v>401</v>
      </c>
      <c r="D65" s="28" t="s">
        <v>24</v>
      </c>
      <c r="E65" s="43" t="s">
        <v>57</v>
      </c>
      <c r="F65" s="43" t="s">
        <v>402</v>
      </c>
      <c r="G65" s="44" t="s">
        <v>15</v>
      </c>
      <c r="H65" s="44" t="s">
        <v>15</v>
      </c>
      <c r="I65" s="45" t="str">
        <f>CONCATENATE("SUM(CASE WHEN (MCS.",F65," IN (' ', '~') OR MCS.",F65, " IS NULL) THEN 1 ELSE 0 END) AS ",F65,",")</f>
        <v>SUM(CASE WHEN (MCS.CLM_RNDRG_PRVDR_PIN_NUM IN (' ', '~') OR MCS.CLM_RNDRG_PRVDR_PIN_NUM IS NULL) THEN 1 ELSE 0 END) AS CLM_RNDRG_PRVDR_PIN_NUM,</v>
      </c>
      <c r="J65" s="43" t="s">
        <v>402</v>
      </c>
      <c r="K65" s="46" t="s">
        <v>861</v>
      </c>
      <c r="L65" s="46">
        <v>0</v>
      </c>
      <c r="M65" s="46">
        <v>135351338</v>
      </c>
      <c r="N65" s="47">
        <f xml:space="preserve"> 1 -O65</f>
        <v>1</v>
      </c>
      <c r="O65" s="48">
        <f>L65/M65</f>
        <v>0</v>
      </c>
      <c r="P65" s="43" t="s">
        <v>402</v>
      </c>
      <c r="Q65" s="48"/>
      <c r="R65" s="48"/>
      <c r="S65" s="54"/>
      <c r="T65" s="48"/>
      <c r="U65" s="48"/>
      <c r="V65" s="43" t="s">
        <v>402</v>
      </c>
      <c r="W65" s="46" t="s">
        <v>861</v>
      </c>
      <c r="X65" s="46" t="s">
        <v>861</v>
      </c>
      <c r="Y65" s="46">
        <v>0</v>
      </c>
      <c r="Z65" s="46">
        <v>0</v>
      </c>
      <c r="AA65" s="46">
        <v>191518</v>
      </c>
      <c r="AB65" s="46">
        <v>146028028</v>
      </c>
      <c r="AC65" s="47">
        <f>1 - AD65</f>
        <v>1</v>
      </c>
      <c r="AD65" s="47">
        <f>Y65/AA65</f>
        <v>0</v>
      </c>
      <c r="AE65" s="47">
        <f>1 - AF65</f>
        <v>1</v>
      </c>
      <c r="AF65" s="47">
        <f>Z65/AB65</f>
        <v>0</v>
      </c>
    </row>
    <row r="66" spans="1:32" ht="124.2" x14ac:dyDescent="0.3">
      <c r="A66" s="34">
        <v>126</v>
      </c>
      <c r="B66" s="28" t="s">
        <v>406</v>
      </c>
      <c r="C66" s="28" t="s">
        <v>407</v>
      </c>
      <c r="D66" s="28" t="s">
        <v>24</v>
      </c>
      <c r="E66" s="43" t="s">
        <v>57</v>
      </c>
      <c r="F66" s="43" t="s">
        <v>409</v>
      </c>
      <c r="G66" s="28" t="s">
        <v>860</v>
      </c>
      <c r="H66" s="44" t="s">
        <v>15</v>
      </c>
      <c r="I66" s="45" t="str">
        <f>CONCATENATE("SUM(CASE WHEN (MCS.",F66," IN (' ', '~') OR MCS.",F66, " IS NULL) THEN 1 ELSE 0 END) AS ",F66,",")</f>
        <v>SUM(CASE WHEN (MCS.CLM_RNDRG_PRVDR_NPI_NUM IN (' ', '~') OR MCS.CLM_RNDRG_PRVDR_NPI_NUM IS NULL) THEN 1 ELSE 0 END) AS CLM_RNDRG_PRVDR_NPI_NUM,</v>
      </c>
      <c r="J66" s="43" t="s">
        <v>409</v>
      </c>
      <c r="K66" s="46" t="s">
        <v>861</v>
      </c>
      <c r="L66" s="46">
        <v>0</v>
      </c>
      <c r="M66" s="46">
        <v>135351338</v>
      </c>
      <c r="N66" s="47">
        <f xml:space="preserve"> 1 -O66</f>
        <v>1</v>
      </c>
      <c r="O66" s="48">
        <f>L66/M66</f>
        <v>0</v>
      </c>
      <c r="P66" s="43" t="s">
        <v>409</v>
      </c>
      <c r="Q66" s="48"/>
      <c r="R66" s="48"/>
      <c r="S66" s="54"/>
      <c r="T66" s="48"/>
      <c r="U66" s="48"/>
      <c r="V66" s="43" t="s">
        <v>409</v>
      </c>
      <c r="W66" s="46" t="s">
        <v>861</v>
      </c>
      <c r="X66" s="46" t="s">
        <v>861</v>
      </c>
      <c r="Y66" s="46">
        <v>0</v>
      </c>
      <c r="Z66" s="46">
        <v>0</v>
      </c>
      <c r="AA66" s="46">
        <v>191518</v>
      </c>
      <c r="AB66" s="46">
        <v>146028028</v>
      </c>
      <c r="AC66" s="47">
        <f>1 - AD66</f>
        <v>1</v>
      </c>
      <c r="AD66" s="47">
        <f>Y66/AA66</f>
        <v>0</v>
      </c>
      <c r="AE66" s="47">
        <f>1 - AF66</f>
        <v>1</v>
      </c>
      <c r="AF66" s="47">
        <f>Z66/AB66</f>
        <v>0</v>
      </c>
    </row>
    <row r="67" spans="1:32" ht="138" x14ac:dyDescent="0.3">
      <c r="A67" s="34">
        <v>127</v>
      </c>
      <c r="B67" s="28" t="s">
        <v>410</v>
      </c>
      <c r="C67" s="28" t="s">
        <v>411</v>
      </c>
      <c r="D67" s="28" t="s">
        <v>24</v>
      </c>
      <c r="E67" s="43" t="s">
        <v>57</v>
      </c>
      <c r="F67" s="43" t="s">
        <v>412</v>
      </c>
      <c r="G67" s="28" t="s">
        <v>860</v>
      </c>
      <c r="H67" s="44" t="s">
        <v>15</v>
      </c>
      <c r="I67" s="45" t="str">
        <f>CONCATENATE("SUM(CASE WHEN (MCS.",F67," IN (' ', '~') OR MCS.",F67, " IS NULL) THEN 1 ELSE 0 END) AS ",F67,",")</f>
        <v>SUM(CASE WHEN (MCS.CLM_RNDRG_PRVDR_GRP_NPI_NUM IN (' ', '~') OR MCS.CLM_RNDRG_PRVDR_GRP_NPI_NUM IS NULL) THEN 1 ELSE 0 END) AS CLM_RNDRG_PRVDR_GRP_NPI_NUM,</v>
      </c>
      <c r="J67" s="43" t="s">
        <v>412</v>
      </c>
      <c r="K67" s="46" t="s">
        <v>861</v>
      </c>
      <c r="L67" s="46">
        <v>0</v>
      </c>
      <c r="M67" s="46">
        <v>135351338</v>
      </c>
      <c r="N67" s="47">
        <f xml:space="preserve"> 1 -O67</f>
        <v>1</v>
      </c>
      <c r="O67" s="48">
        <f>L67/M67</f>
        <v>0</v>
      </c>
      <c r="P67" s="43" t="s">
        <v>412</v>
      </c>
      <c r="Q67" s="48"/>
      <c r="R67" s="48"/>
      <c r="S67" s="54"/>
      <c r="T67" s="48"/>
      <c r="U67" s="48"/>
      <c r="V67" s="43" t="s">
        <v>412</v>
      </c>
      <c r="W67" s="46" t="s">
        <v>862</v>
      </c>
      <c r="X67" s="46" t="s">
        <v>862</v>
      </c>
      <c r="Y67" s="46">
        <v>191518</v>
      </c>
      <c r="Z67" s="46">
        <v>146028028</v>
      </c>
      <c r="AA67" s="46">
        <v>191518</v>
      </c>
      <c r="AB67" s="46">
        <v>146028028</v>
      </c>
      <c r="AC67" s="47">
        <f>1 - AD67</f>
        <v>0</v>
      </c>
      <c r="AD67" s="47">
        <f>Y67/AA67</f>
        <v>1</v>
      </c>
      <c r="AE67" s="47">
        <f>1 - AF67</f>
        <v>0</v>
      </c>
      <c r="AF67" s="47">
        <f>Z67/AB67</f>
        <v>1</v>
      </c>
    </row>
    <row r="68" spans="1:32" ht="138" x14ac:dyDescent="0.3">
      <c r="A68" s="34">
        <v>132</v>
      </c>
      <c r="B68" s="28" t="s">
        <v>431</v>
      </c>
      <c r="C68" s="28" t="s">
        <v>432</v>
      </c>
      <c r="D68" s="28" t="s">
        <v>24</v>
      </c>
      <c r="E68" s="43" t="s">
        <v>57</v>
      </c>
      <c r="F68" s="43" t="s">
        <v>433</v>
      </c>
      <c r="G68" s="55" t="s">
        <v>15</v>
      </c>
      <c r="H68" s="44" t="s">
        <v>15</v>
      </c>
      <c r="I68" s="45" t="str">
        <f>CONCATENATE("SUM(CASE WHEN (MCS.",F68," IN (' ', '~') OR MCS.",F68, " IS NULL) THEN 1 ELSE 0 END) AS ",F68,",")</f>
        <v>SUM(CASE WHEN (MCS.CLM_RNDRG_FED_PRVDR_SPCLTY_CD IN (' ', '~') OR MCS.CLM_RNDRG_FED_PRVDR_SPCLTY_CD IS NULL) THEN 1 ELSE 0 END) AS CLM_RNDRG_FED_PRVDR_SPCLTY_CD,</v>
      </c>
      <c r="J68" s="43" t="s">
        <v>433</v>
      </c>
      <c r="K68" s="46" t="s">
        <v>861</v>
      </c>
      <c r="L68" s="46">
        <v>0</v>
      </c>
      <c r="M68" s="46">
        <v>135351338</v>
      </c>
      <c r="N68" s="47">
        <f xml:space="preserve"> 1 -O68</f>
        <v>1</v>
      </c>
      <c r="O68" s="48">
        <f>L68/M68</f>
        <v>0</v>
      </c>
      <c r="P68" s="43" t="s">
        <v>433</v>
      </c>
      <c r="Q68" s="48"/>
      <c r="R68" s="48"/>
      <c r="S68" s="54"/>
      <c r="T68" s="48"/>
      <c r="U68" s="48"/>
      <c r="V68" s="43" t="s">
        <v>433</v>
      </c>
      <c r="W68" s="46" t="s">
        <v>861</v>
      </c>
      <c r="X68" s="46" t="s">
        <v>861</v>
      </c>
      <c r="Y68" s="46">
        <v>9336</v>
      </c>
      <c r="Z68" s="46">
        <v>17918</v>
      </c>
      <c r="AA68" s="46">
        <v>191518</v>
      </c>
      <c r="AB68" s="46">
        <v>146028028</v>
      </c>
      <c r="AC68" s="47">
        <f>1 - AD68</f>
        <v>0.95125262377426667</v>
      </c>
      <c r="AD68" s="47">
        <f>Y68/AA68</f>
        <v>4.8747376225733351E-2</v>
      </c>
      <c r="AE68" s="47">
        <f>1 - AF68</f>
        <v>0.99987729752811561</v>
      </c>
      <c r="AF68" s="47">
        <f>Z68/AB68</f>
        <v>1.2270247188437004E-4</v>
      </c>
    </row>
    <row r="69" spans="1:32" ht="110.4" x14ac:dyDescent="0.3">
      <c r="A69" s="34">
        <v>54</v>
      </c>
      <c r="B69" s="28" t="s">
        <v>182</v>
      </c>
      <c r="C69" s="28" t="s">
        <v>183</v>
      </c>
      <c r="D69" s="28" t="s">
        <v>24</v>
      </c>
      <c r="E69" s="28" t="s">
        <v>31</v>
      </c>
      <c r="F69" s="43" t="s">
        <v>184</v>
      </c>
      <c r="G69" s="44" t="s">
        <v>15</v>
      </c>
      <c r="H69" s="44" t="s">
        <v>15</v>
      </c>
      <c r="I69" s="45" t="str">
        <f>CONCATENATE("SUM(CASE WHEN ",F69," IN (' ', '~') OR ",F69, " IS NULL THEN 1 ELSE 0 END) AS ",F69,",")</f>
        <v>SUM(CASE WHEN CLM_RFRG_PRVDR_UPIN_NUM IN (' ', '~') OR CLM_RFRG_PRVDR_UPIN_NUM IS NULL THEN 1 ELSE 0 END) AS CLM_RFRG_PRVDR_UPIN_NUM,</v>
      </c>
      <c r="J69" s="43" t="s">
        <v>184</v>
      </c>
      <c r="K69" s="46" t="s">
        <v>861</v>
      </c>
      <c r="L69" s="46">
        <v>0</v>
      </c>
      <c r="M69" s="46">
        <v>67078797</v>
      </c>
      <c r="N69" s="47">
        <f xml:space="preserve"> 1 -O69</f>
        <v>1</v>
      </c>
      <c r="O69" s="48">
        <f>L69/M69</f>
        <v>0</v>
      </c>
      <c r="P69" s="49" t="s">
        <v>184</v>
      </c>
      <c r="Q69" s="50"/>
      <c r="R69" s="51">
        <v>0</v>
      </c>
      <c r="S69" s="54"/>
      <c r="T69" s="48"/>
      <c r="U69" s="48"/>
      <c r="V69" s="43" t="s">
        <v>184</v>
      </c>
      <c r="W69" s="46" t="s">
        <v>861</v>
      </c>
      <c r="X69" s="46" t="s">
        <v>861</v>
      </c>
      <c r="Y69" s="46">
        <v>0</v>
      </c>
      <c r="Z69" s="46">
        <v>0</v>
      </c>
      <c r="AA69" s="46">
        <v>89974</v>
      </c>
      <c r="AB69" s="46">
        <v>71615601</v>
      </c>
      <c r="AC69" s="47">
        <f>1 - AD69</f>
        <v>1</v>
      </c>
      <c r="AD69" s="47">
        <f>Y69/AA69</f>
        <v>0</v>
      </c>
      <c r="AE69" s="47">
        <f>1 - AF69</f>
        <v>1</v>
      </c>
      <c r="AF69" s="47">
        <f>Z69/AB69</f>
        <v>0</v>
      </c>
    </row>
    <row r="70" spans="1:32" ht="110.4" x14ac:dyDescent="0.3">
      <c r="A70" s="34">
        <v>87</v>
      </c>
      <c r="B70" s="28" t="s">
        <v>290</v>
      </c>
      <c r="C70" s="28" t="s">
        <v>291</v>
      </c>
      <c r="D70" s="28" t="s">
        <v>24</v>
      </c>
      <c r="E70" s="28" t="s">
        <v>31</v>
      </c>
      <c r="F70" s="43" t="s">
        <v>292</v>
      </c>
      <c r="G70" s="44" t="s">
        <v>15</v>
      </c>
      <c r="H70" s="44" t="s">
        <v>15</v>
      </c>
      <c r="I70" s="45" t="str">
        <f>CONCATENATE("SUM(CASE WHEN ",F70," IN (' ', '~') OR ",F70, " IS NULL THEN 1 ELSE 0 END) AS ",F70,",")</f>
        <v>SUM(CASE WHEN CLM_RFRG_PRVDR_PIN_NUM IN (' ', '~') OR CLM_RFRG_PRVDR_PIN_NUM IS NULL THEN 1 ELSE 0 END) AS CLM_RFRG_PRVDR_PIN_NUM,</v>
      </c>
      <c r="J70" s="43" t="s">
        <v>292</v>
      </c>
      <c r="K70" s="46" t="s">
        <v>861</v>
      </c>
      <c r="L70" s="46">
        <v>0</v>
      </c>
      <c r="M70" s="46">
        <v>67078797</v>
      </c>
      <c r="N70" s="47">
        <f xml:space="preserve"> 1 -O70</f>
        <v>1</v>
      </c>
      <c r="O70" s="48">
        <f>L70/M70</f>
        <v>0</v>
      </c>
      <c r="P70" s="49" t="s">
        <v>292</v>
      </c>
      <c r="Q70" s="50"/>
      <c r="R70" s="51">
        <v>0</v>
      </c>
      <c r="S70" s="54"/>
      <c r="T70" s="48"/>
      <c r="U70" s="48"/>
      <c r="V70" s="43" t="s">
        <v>292</v>
      </c>
      <c r="W70" s="46" t="s">
        <v>861</v>
      </c>
      <c r="X70" s="46" t="s">
        <v>861</v>
      </c>
      <c r="Y70" s="46">
        <v>0</v>
      </c>
      <c r="Z70" s="46">
        <v>0</v>
      </c>
      <c r="AA70" s="46">
        <v>89974</v>
      </c>
      <c r="AB70" s="46">
        <v>71615601</v>
      </c>
      <c r="AC70" s="47">
        <f>1 - AD70</f>
        <v>1</v>
      </c>
      <c r="AD70" s="47">
        <f>Y70/AA70</f>
        <v>0</v>
      </c>
      <c r="AE70" s="47">
        <f>1 - AF70</f>
        <v>1</v>
      </c>
      <c r="AF70" s="47">
        <f>Z70/AB70</f>
        <v>0</v>
      </c>
    </row>
    <row r="71" spans="1:32" ht="110.4" x14ac:dyDescent="0.3">
      <c r="A71" s="34">
        <v>55</v>
      </c>
      <c r="B71" s="28" t="s">
        <v>185</v>
      </c>
      <c r="C71" s="28" t="s">
        <v>186</v>
      </c>
      <c r="D71" s="28" t="s">
        <v>24</v>
      </c>
      <c r="E71" s="28" t="s">
        <v>31</v>
      </c>
      <c r="F71" s="43" t="s">
        <v>189</v>
      </c>
      <c r="G71" s="44" t="s">
        <v>15</v>
      </c>
      <c r="H71" s="44" t="s">
        <v>15</v>
      </c>
      <c r="I71" s="45" t="str">
        <f>CONCATENATE("SUM(CASE WHEN ",F71," IN (' ', '~') OR ",F71, " IS NULL THEN 1 ELSE 0 END) AS ",F71,",")</f>
        <v>SUM(CASE WHEN CLM_RFRG_PRVDR_NPI_NUM IN (' ', '~') OR CLM_RFRG_PRVDR_NPI_NUM IS NULL THEN 1 ELSE 0 END) AS CLM_RFRG_PRVDR_NPI_NUM,</v>
      </c>
      <c r="J71" s="43" t="s">
        <v>189</v>
      </c>
      <c r="K71" s="46" t="s">
        <v>861</v>
      </c>
      <c r="L71" s="46">
        <v>0</v>
      </c>
      <c r="M71" s="46">
        <v>67078797</v>
      </c>
      <c r="N71" s="47">
        <f xml:space="preserve"> 1 -O71</f>
        <v>1</v>
      </c>
      <c r="O71" s="48">
        <f>L71/M71</f>
        <v>0</v>
      </c>
      <c r="P71" s="49" t="s">
        <v>189</v>
      </c>
      <c r="Q71" s="50"/>
      <c r="R71" s="51">
        <v>0</v>
      </c>
      <c r="S71" s="54"/>
      <c r="T71" s="48"/>
      <c r="U71" s="48"/>
      <c r="V71" s="43" t="s">
        <v>189</v>
      </c>
      <c r="W71" s="46" t="s">
        <v>861</v>
      </c>
      <c r="X71" s="46" t="s">
        <v>861</v>
      </c>
      <c r="Y71" s="46">
        <v>0</v>
      </c>
      <c r="Z71" s="46">
        <v>0</v>
      </c>
      <c r="AA71" s="46">
        <v>89974</v>
      </c>
      <c r="AB71" s="46">
        <v>71615601</v>
      </c>
      <c r="AC71" s="47">
        <f>1 - AD71</f>
        <v>1</v>
      </c>
      <c r="AD71" s="47">
        <f>Y71/AA71</f>
        <v>0</v>
      </c>
      <c r="AE71" s="47">
        <f>1 - AF71</f>
        <v>1</v>
      </c>
      <c r="AF71" s="47">
        <f>Z71/AB71</f>
        <v>0</v>
      </c>
    </row>
    <row r="72" spans="1:32" ht="69" x14ac:dyDescent="0.3">
      <c r="A72" s="34" t="s">
        <v>860</v>
      </c>
      <c r="B72" s="28" t="s">
        <v>276</v>
      </c>
      <c r="C72" s="28" t="s">
        <v>277</v>
      </c>
      <c r="D72" s="28" t="s">
        <v>24</v>
      </c>
      <c r="E72" s="66" t="s">
        <v>46</v>
      </c>
      <c r="F72" s="66" t="s">
        <v>277</v>
      </c>
      <c r="G72" s="66" t="s">
        <v>860</v>
      </c>
      <c r="H72" s="67" t="s">
        <v>15</v>
      </c>
      <c r="I72" s="68" t="str">
        <f>CONCATENATE("SUM(CASE WHEN (MCS.",F72," IN (' ', '~') OR MCS.",F72, " IS NULL) THEN 1 ELSE 0 END) AS ",F72,",")</f>
        <v>SUM(CASE WHEN (MCS.CLM_RARC IN (' ', '~') OR MCS.CLM_RARC IS NULL) THEN 1 ELSE 0 END) AS CLM_RARC,</v>
      </c>
      <c r="J72" s="66" t="s">
        <v>277</v>
      </c>
      <c r="K72" s="69"/>
      <c r="L72" s="69"/>
      <c r="M72" s="69"/>
      <c r="N72" s="69"/>
      <c r="O72" s="70"/>
      <c r="P72" s="66" t="s">
        <v>277</v>
      </c>
      <c r="Q72" s="70"/>
      <c r="R72" s="70"/>
      <c r="S72" s="71"/>
      <c r="T72" s="70"/>
      <c r="U72" s="70"/>
      <c r="V72" s="68"/>
      <c r="W72" s="69"/>
      <c r="X72" s="69"/>
      <c r="Y72" s="69"/>
      <c r="Z72" s="69"/>
      <c r="AA72" s="69"/>
      <c r="AB72" s="69"/>
      <c r="AC72" s="69"/>
      <c r="AD72" s="69"/>
      <c r="AE72" s="69"/>
      <c r="AF72" s="69"/>
    </row>
    <row r="73" spans="1:32" ht="110.4" x14ac:dyDescent="0.3">
      <c r="A73" s="34">
        <v>68</v>
      </c>
      <c r="B73" s="28" t="s">
        <v>865</v>
      </c>
      <c r="C73" s="28" t="s">
        <v>228</v>
      </c>
      <c r="D73" s="28" t="s">
        <v>24</v>
      </c>
      <c r="E73" s="28" t="s">
        <v>31</v>
      </c>
      <c r="F73" s="28" t="s">
        <v>229</v>
      </c>
      <c r="G73" s="44" t="s">
        <v>15</v>
      </c>
      <c r="H73" s="44" t="s">
        <v>15</v>
      </c>
      <c r="I73" s="45" t="str">
        <f>CONCATENATE("SUM(CASE WHEN ",F73," IN (' ', '~') OR ",F73, " IS NULL THEN 1 ELSE 0 END) AS ",F73,",")</f>
        <v>SUM(CASE WHEN CLM_RAC_ADJSTMT_IND_CD IN (' ', '~') OR CLM_RAC_ADJSTMT_IND_CD IS NULL THEN 1 ELSE 0 END) AS CLM_RAC_ADJSTMT_IND_CD,</v>
      </c>
      <c r="J73" s="28" t="s">
        <v>229</v>
      </c>
      <c r="K73" s="46" t="s">
        <v>861</v>
      </c>
      <c r="L73" s="46">
        <v>0</v>
      </c>
      <c r="M73" s="46">
        <v>67078797</v>
      </c>
      <c r="N73" s="47">
        <f xml:space="preserve"> 1 -O73</f>
        <v>1</v>
      </c>
      <c r="O73" s="48">
        <f>L73/M73</f>
        <v>0</v>
      </c>
      <c r="P73" s="49" t="s">
        <v>229</v>
      </c>
      <c r="Q73" s="50"/>
      <c r="R73" s="51">
        <v>0</v>
      </c>
      <c r="S73" s="54"/>
      <c r="T73" s="48"/>
      <c r="U73" s="48"/>
      <c r="V73" s="43" t="s">
        <v>229</v>
      </c>
      <c r="W73" s="46" t="s">
        <v>862</v>
      </c>
      <c r="X73" s="46" t="s">
        <v>862</v>
      </c>
      <c r="Y73" s="46">
        <v>89974</v>
      </c>
      <c r="Z73" s="46">
        <v>71615601</v>
      </c>
      <c r="AA73" s="46">
        <v>89974</v>
      </c>
      <c r="AB73" s="46">
        <v>71615601</v>
      </c>
      <c r="AC73" s="47">
        <f>1 - AD73</f>
        <v>0</v>
      </c>
      <c r="AD73" s="47">
        <f>Y73/AA73</f>
        <v>1</v>
      </c>
      <c r="AE73" s="47">
        <f>1 - AF73</f>
        <v>0</v>
      </c>
      <c r="AF73" s="47">
        <f>Z73/AB73</f>
        <v>1</v>
      </c>
    </row>
    <row r="74" spans="1:32" ht="82.8" x14ac:dyDescent="0.3">
      <c r="A74" s="34">
        <v>28</v>
      </c>
      <c r="B74" s="28" t="s">
        <v>93</v>
      </c>
      <c r="C74" s="28" t="s">
        <v>94</v>
      </c>
      <c r="D74" s="28" t="s">
        <v>24</v>
      </c>
      <c r="E74" s="28" t="s">
        <v>31</v>
      </c>
      <c r="F74" s="28" t="s">
        <v>95</v>
      </c>
      <c r="G74" s="44" t="s">
        <v>15</v>
      </c>
      <c r="H74" s="44" t="s">
        <v>15</v>
      </c>
      <c r="I74" s="45" t="str">
        <f>CONCATENATE("SUM(CASE WHEN ",F74," IN (' ', '~') OR ",F74, " IS NULL THEN 1 ELSE 0 END) AS ",F74,",")</f>
        <v>SUM(CASE WHEN CLM_QUERY_CD IN (' ', '~') OR CLM_QUERY_CD IS NULL THEN 1 ELSE 0 END) AS CLM_QUERY_CD,</v>
      </c>
      <c r="J74" s="28" t="s">
        <v>95</v>
      </c>
      <c r="K74" s="46" t="s">
        <v>861</v>
      </c>
      <c r="L74" s="46">
        <v>0</v>
      </c>
      <c r="M74" s="46">
        <v>67078797</v>
      </c>
      <c r="N74" s="47">
        <f xml:space="preserve"> 1 -O74</f>
        <v>1</v>
      </c>
      <c r="O74" s="48">
        <f>L74/M74</f>
        <v>0</v>
      </c>
      <c r="P74" s="49" t="s">
        <v>95</v>
      </c>
      <c r="Q74" s="50"/>
      <c r="R74" s="51">
        <v>0</v>
      </c>
      <c r="S74" s="54"/>
      <c r="T74" s="48"/>
      <c r="U74" s="48"/>
      <c r="V74" s="43" t="s">
        <v>95</v>
      </c>
      <c r="W74" s="46" t="s">
        <v>862</v>
      </c>
      <c r="X74" s="46" t="s">
        <v>862</v>
      </c>
      <c r="Y74" s="46">
        <v>89974</v>
      </c>
      <c r="Z74" s="46">
        <v>71615601</v>
      </c>
      <c r="AA74" s="46">
        <v>89974</v>
      </c>
      <c r="AB74" s="46">
        <v>71615601</v>
      </c>
      <c r="AC74" s="47">
        <f>1 - AD74</f>
        <v>0</v>
      </c>
      <c r="AD74" s="47">
        <f>Y74/AA74</f>
        <v>1</v>
      </c>
      <c r="AE74" s="47">
        <f>1 - AF74</f>
        <v>0</v>
      </c>
      <c r="AF74" s="47">
        <f>Z74/AB74</f>
        <v>1</v>
      </c>
    </row>
    <row r="75" spans="1:32" ht="124.2" x14ac:dyDescent="0.3">
      <c r="A75" s="34">
        <v>184</v>
      </c>
      <c r="B75" s="28" t="s">
        <v>590</v>
      </c>
      <c r="C75" s="28" t="s">
        <v>591</v>
      </c>
      <c r="D75" s="43" t="s">
        <v>594</v>
      </c>
      <c r="E75" s="43" t="s">
        <v>436</v>
      </c>
      <c r="F75" s="43" t="s">
        <v>595</v>
      </c>
      <c r="G75" s="43" t="s">
        <v>860</v>
      </c>
      <c r="H75" s="44" t="s">
        <v>15</v>
      </c>
      <c r="I75" s="45" t="str">
        <f>CONCATENATE("SUM(CASE WHEN (MCS.",F75," IN (' ', '~') OR MCS.",F75, " IS NULL) THEN 1 ELSE 0 END) AS ",F75,",")</f>
        <v>SUM(CASE WHEN (MCS.CLM_PTNT_PCKP_ZIP5_CD IN (' ', '~') OR MCS.CLM_PTNT_PCKP_ZIP5_CD IS NULL) THEN 1 ELSE 0 END) AS CLM_PTNT_PCKP_ZIP5_CD,</v>
      </c>
      <c r="J75" s="43" t="s">
        <v>595</v>
      </c>
      <c r="K75" s="46" t="s">
        <v>861</v>
      </c>
      <c r="L75" s="46">
        <v>0</v>
      </c>
      <c r="M75" s="46">
        <v>135449900</v>
      </c>
      <c r="N75" s="47">
        <f xml:space="preserve"> 1 -O75</f>
        <v>1</v>
      </c>
      <c r="O75" s="48">
        <f>L75/M75</f>
        <v>0</v>
      </c>
      <c r="P75" s="43" t="s">
        <v>595</v>
      </c>
      <c r="Q75" s="48"/>
      <c r="R75" s="48"/>
      <c r="S75" s="54"/>
      <c r="T75" s="48"/>
      <c r="U75" s="48"/>
      <c r="V75" s="24" t="s">
        <v>595</v>
      </c>
      <c r="W75" s="58" t="s">
        <v>861</v>
      </c>
      <c r="X75" s="58" t="s">
        <v>861</v>
      </c>
      <c r="Y75" s="59">
        <v>0</v>
      </c>
      <c r="Z75" s="59">
        <v>2</v>
      </c>
      <c r="AA75" s="57">
        <v>191518</v>
      </c>
      <c r="AB75" s="57">
        <v>146028028</v>
      </c>
      <c r="AC75" s="47" t="e">
        <f>X75/Z75</f>
        <v>#VALUE!</v>
      </c>
      <c r="AD75" s="47">
        <f>Y75/AA75</f>
        <v>0</v>
      </c>
      <c r="AE75" s="47">
        <f>1 - AF75</f>
        <v>0.99999998630399911</v>
      </c>
      <c r="AF75" s="47">
        <f>Z75/AB75</f>
        <v>1.3696000880050233E-8</v>
      </c>
    </row>
    <row r="76" spans="1:32" ht="69" x14ac:dyDescent="0.3">
      <c r="A76" s="34">
        <v>41</v>
      </c>
      <c r="B76" s="28" t="s">
        <v>138</v>
      </c>
      <c r="C76" s="28" t="s">
        <v>139</v>
      </c>
      <c r="D76" s="28" t="s">
        <v>24</v>
      </c>
      <c r="E76" s="28" t="s">
        <v>31</v>
      </c>
      <c r="F76" s="28" t="s">
        <v>864</v>
      </c>
      <c r="G76" s="44" t="s">
        <v>15</v>
      </c>
      <c r="H76" s="44" t="s">
        <v>15</v>
      </c>
      <c r="I76" s="45" t="str">
        <f>CONCATENATE("SUM(CASE WHEN (",F76, " IS NULL) THEN 1 ELSE 0 END) AS ",F76,",")</f>
        <v>SUM(CASE WHEN (CLM_PTNT_BIRTH_DT IS NULL) THEN 1 ELSE 0 END) AS CLM_PTNT_BIRTH_DT,</v>
      </c>
      <c r="J76" s="28" t="s">
        <v>864</v>
      </c>
      <c r="K76" s="46" t="s">
        <v>861</v>
      </c>
      <c r="L76" s="46">
        <v>0</v>
      </c>
      <c r="M76" s="46">
        <v>67078797</v>
      </c>
      <c r="N76" s="47">
        <f xml:space="preserve"> 1 -O76</f>
        <v>1</v>
      </c>
      <c r="O76" s="48">
        <f>L76/M76</f>
        <v>0</v>
      </c>
      <c r="P76" s="49" t="s">
        <v>864</v>
      </c>
      <c r="Q76" s="50"/>
      <c r="R76" s="51">
        <v>0</v>
      </c>
      <c r="S76" s="54"/>
      <c r="T76" s="48"/>
      <c r="U76" s="48"/>
      <c r="V76" s="43" t="s">
        <v>864</v>
      </c>
      <c r="W76" s="46" t="s">
        <v>862</v>
      </c>
      <c r="X76" s="46" t="s">
        <v>862</v>
      </c>
      <c r="Y76" s="46">
        <v>89974</v>
      </c>
      <c r="Z76" s="46">
        <v>71615601</v>
      </c>
      <c r="AA76" s="46">
        <v>89974</v>
      </c>
      <c r="AB76" s="46">
        <v>71615601</v>
      </c>
      <c r="AC76" s="47">
        <f>1 - AD76</f>
        <v>0</v>
      </c>
      <c r="AD76" s="47">
        <f>Y76/AA76</f>
        <v>1</v>
      </c>
      <c r="AE76" s="47">
        <f>1 - AF76</f>
        <v>0</v>
      </c>
      <c r="AF76" s="47">
        <f>Z76/AB76</f>
        <v>1</v>
      </c>
    </row>
    <row r="77" spans="1:32" ht="82.8" x14ac:dyDescent="0.3">
      <c r="A77" s="35">
        <v>95</v>
      </c>
      <c r="B77" s="28" t="s">
        <v>319</v>
      </c>
      <c r="C77" s="28" t="s">
        <v>320</v>
      </c>
      <c r="D77" s="28" t="s">
        <v>321</v>
      </c>
      <c r="E77" s="61" t="s">
        <v>322</v>
      </c>
      <c r="F77" s="61" t="s">
        <v>323</v>
      </c>
      <c r="G77" s="44" t="s">
        <v>15</v>
      </c>
      <c r="H77" s="44" t="s">
        <v>15</v>
      </c>
      <c r="I77" s="45" t="str">
        <f>CONCATENATE("SUM(CASE WHEN (",F77, " IS NULL) THEN 1 ELSE 0 END) AS ",F77,",")</f>
        <v>SUM(CASE WHEN (CLM_PTCH_SGNTR_MBR_CNT IS NULL) THEN 1 ELSE 0 END) AS CLM_PTCH_SGNTR_MBR_CNT,</v>
      </c>
      <c r="J77" s="61" t="s">
        <v>323</v>
      </c>
      <c r="K77" s="46" t="s">
        <v>861</v>
      </c>
      <c r="L77" s="46">
        <v>66987582</v>
      </c>
      <c r="M77" s="46">
        <v>67126071</v>
      </c>
      <c r="N77" s="47">
        <f xml:space="preserve"> 1 -O77</f>
        <v>2.0631179203084438E-3</v>
      </c>
      <c r="O77" s="48">
        <f>L77/M77</f>
        <v>0.99793688207969156</v>
      </c>
      <c r="P77" s="61" t="s">
        <v>323</v>
      </c>
      <c r="Q77" s="48"/>
      <c r="R77" s="48"/>
      <c r="S77" s="54"/>
      <c r="T77" s="48"/>
      <c r="U77" s="48"/>
      <c r="V77" s="43" t="s">
        <v>323</v>
      </c>
      <c r="W77" s="46">
        <v>89974</v>
      </c>
      <c r="X77" s="46">
        <v>71615601</v>
      </c>
      <c r="Y77" s="46">
        <v>89974</v>
      </c>
      <c r="Z77" s="46">
        <v>71615601</v>
      </c>
      <c r="AA77" s="62"/>
      <c r="AB77" s="62"/>
      <c r="AC77" s="63"/>
      <c r="AD77" s="63"/>
      <c r="AE77" s="63"/>
      <c r="AF77" s="63"/>
    </row>
    <row r="78" spans="1:32" ht="82.8" x14ac:dyDescent="0.3">
      <c r="A78" s="34">
        <v>105</v>
      </c>
      <c r="B78" s="28" t="s">
        <v>345</v>
      </c>
      <c r="C78" s="28" t="s">
        <v>346</v>
      </c>
      <c r="D78" s="28" t="s">
        <v>321</v>
      </c>
      <c r="E78" s="61" t="s">
        <v>347</v>
      </c>
      <c r="F78" s="61" t="s">
        <v>348</v>
      </c>
      <c r="G78" s="44" t="s">
        <v>15</v>
      </c>
      <c r="H78" s="44" t="s">
        <v>15</v>
      </c>
      <c r="I78" s="45" t="str">
        <f>CONCATENATE("SUM(CASE WHEN (MCS.",F78," IN (' ', '~') OR MCS.",F78, " IS NULL) THEN 1 ELSE 0 END) AS ",F78,",")</f>
        <v>SUM(CASE WHEN (MCS.CLM_PTCH_CD IN (' ', '~') OR MCS.CLM_PTCH_CD IS NULL) THEN 1 ELSE 0 END) AS CLM_PTCH_CD,</v>
      </c>
      <c r="J78" s="61" t="s">
        <v>348</v>
      </c>
      <c r="K78" s="46" t="s">
        <v>861</v>
      </c>
      <c r="L78" s="46">
        <v>66987582</v>
      </c>
      <c r="M78" s="46">
        <v>67126071</v>
      </c>
      <c r="N78" s="47">
        <f xml:space="preserve"> 1 -O78</f>
        <v>2.0631179203084438E-3</v>
      </c>
      <c r="O78" s="48">
        <f>L78/M78</f>
        <v>0.99793688207969156</v>
      </c>
      <c r="P78" s="61" t="s">
        <v>348</v>
      </c>
      <c r="Q78" s="48"/>
      <c r="R78" s="48"/>
      <c r="S78" s="54"/>
      <c r="T78" s="48"/>
      <c r="U78" s="48"/>
      <c r="V78" s="64" t="s">
        <v>348</v>
      </c>
      <c r="W78" s="46">
        <v>89974</v>
      </c>
      <c r="X78" s="46">
        <v>71615601</v>
      </c>
      <c r="Y78" s="46">
        <v>89974</v>
      </c>
      <c r="Z78" s="46">
        <v>71615601</v>
      </c>
      <c r="AA78" s="62"/>
      <c r="AB78" s="62"/>
      <c r="AC78" s="63"/>
      <c r="AD78" s="63"/>
      <c r="AE78" s="63"/>
      <c r="AF78" s="63"/>
    </row>
    <row r="79" spans="1:32" ht="69" x14ac:dyDescent="0.3">
      <c r="A79" s="34">
        <v>106</v>
      </c>
      <c r="B79" s="28" t="s">
        <v>349</v>
      </c>
      <c r="C79" s="28" t="s">
        <v>350</v>
      </c>
      <c r="D79" s="28" t="s">
        <v>321</v>
      </c>
      <c r="E79" s="61" t="s">
        <v>347</v>
      </c>
      <c r="F79" s="61" t="s">
        <v>351</v>
      </c>
      <c r="G79" s="44" t="s">
        <v>15</v>
      </c>
      <c r="H79" s="44" t="s">
        <v>15</v>
      </c>
      <c r="I79" s="45" t="str">
        <f>CONCATENATE("SUM(CASE WHEN (MCS.",F79, " IS NULL) THEN 1 ELSE 0 END) AS ",F79,",")</f>
        <v>SUM(CASE WHEN (MCS.CLM_PTCH_APPLY_DT IS NULL) THEN 1 ELSE 0 END) AS CLM_PTCH_APPLY_DT,</v>
      </c>
      <c r="J79" s="61" t="s">
        <v>351</v>
      </c>
      <c r="K79" s="46" t="s">
        <v>861</v>
      </c>
      <c r="L79" s="46">
        <v>0</v>
      </c>
      <c r="M79" s="46">
        <v>67126071</v>
      </c>
      <c r="N79" s="47">
        <f xml:space="preserve"> 1 -O79</f>
        <v>1</v>
      </c>
      <c r="O79" s="48">
        <f>L79/M79</f>
        <v>0</v>
      </c>
      <c r="P79" s="61" t="s">
        <v>351</v>
      </c>
      <c r="Q79" s="48"/>
      <c r="R79" s="48"/>
      <c r="S79" s="54"/>
      <c r="T79" s="48"/>
      <c r="U79" s="48"/>
      <c r="V79" s="64" t="s">
        <v>351</v>
      </c>
      <c r="W79" s="46">
        <v>0</v>
      </c>
      <c r="X79" s="46">
        <v>0</v>
      </c>
      <c r="Y79" s="46">
        <v>89974</v>
      </c>
      <c r="Z79" s="46">
        <v>71615601</v>
      </c>
      <c r="AA79" s="62">
        <v>89974</v>
      </c>
      <c r="AB79" s="65">
        <v>71615601</v>
      </c>
      <c r="AC79" s="63">
        <f>1 - AD79</f>
        <v>0</v>
      </c>
      <c r="AD79" s="63">
        <f>Y79/AA79</f>
        <v>1</v>
      </c>
      <c r="AE79" s="63">
        <f>1 - AF79</f>
        <v>0</v>
      </c>
      <c r="AF79" s="63">
        <f>Z79/AB79</f>
        <v>1</v>
      </c>
    </row>
    <row r="80" spans="1:32" ht="110.4" x14ac:dyDescent="0.3">
      <c r="A80" s="34">
        <v>85</v>
      </c>
      <c r="B80" s="43" t="s">
        <v>270</v>
      </c>
      <c r="C80" s="43" t="s">
        <v>271</v>
      </c>
      <c r="D80" s="43" t="s">
        <v>24</v>
      </c>
      <c r="E80" s="72" t="s">
        <v>46</v>
      </c>
      <c r="F80" s="72" t="s">
        <v>271</v>
      </c>
      <c r="G80" s="72" t="s">
        <v>860</v>
      </c>
      <c r="H80" s="67" t="s">
        <v>15</v>
      </c>
      <c r="I80" s="68" t="str">
        <f>CONCATENATE("SUM(CASE WHEN (MCS.",F80," IN (' ', '~') OR MCS.",F80, " IS NULL) THEN 1 ELSE 0 END) AS ",F80,",")</f>
        <v>SUM(CASE WHEN (MCS.CLM_PRVDR_VLDTN_CD IN (' ', '~') OR MCS.CLM_PRVDR_VLDTN_CD IS NULL) THEN 1 ELSE 0 END) AS CLM_PRVDR_VLDTN_CD,</v>
      </c>
      <c r="J80" s="72" t="s">
        <v>271</v>
      </c>
      <c r="K80" s="69"/>
      <c r="L80" s="69"/>
      <c r="M80" s="69"/>
      <c r="N80" s="69"/>
      <c r="O80" s="70"/>
      <c r="P80" s="72" t="s">
        <v>271</v>
      </c>
      <c r="Q80" s="70"/>
      <c r="R80" s="70"/>
      <c r="S80" s="71"/>
      <c r="T80" s="70"/>
      <c r="U80" s="70"/>
      <c r="V80" s="68"/>
      <c r="W80" s="69"/>
      <c r="X80" s="69"/>
      <c r="Y80" s="69"/>
      <c r="Z80" s="69"/>
      <c r="AA80" s="69"/>
      <c r="AB80" s="69"/>
      <c r="AC80" s="69"/>
      <c r="AD80" s="69"/>
      <c r="AE80" s="69"/>
      <c r="AF80" s="69"/>
    </row>
    <row r="81" spans="1:32" ht="110.4" x14ac:dyDescent="0.3">
      <c r="A81" s="34">
        <v>133</v>
      </c>
      <c r="B81" s="28" t="s">
        <v>434</v>
      </c>
      <c r="C81" s="28" t="s">
        <v>435</v>
      </c>
      <c r="D81" s="28" t="s">
        <v>24</v>
      </c>
      <c r="E81" s="43" t="s">
        <v>436</v>
      </c>
      <c r="F81" s="43" t="s">
        <v>437</v>
      </c>
      <c r="G81" s="55" t="s">
        <v>15</v>
      </c>
      <c r="H81" s="44" t="s">
        <v>15</v>
      </c>
      <c r="I81" s="45" t="str">
        <f>CONCATENATE("SUM(CASE WHEN (MCS.",F81," IN (' ', '~') OR MCS.",F81, " IS NULL) THEN 1 ELSE 0 END) AS ",F81,",")</f>
        <v>SUM(CASE WHEN (MCS.CLM_PRVDR_SPCLTY_CD IN (' ', '~') OR MCS.CLM_PRVDR_SPCLTY_CD IS NULL) THEN 1 ELSE 0 END) AS CLM_PRVDR_SPCLTY_CD,</v>
      </c>
      <c r="J81" s="43" t="s">
        <v>437</v>
      </c>
      <c r="K81" s="46" t="s">
        <v>861</v>
      </c>
      <c r="L81" s="46">
        <v>0</v>
      </c>
      <c r="M81" s="46">
        <v>135449900</v>
      </c>
      <c r="N81" s="47">
        <f xml:space="preserve"> 1 -O81</f>
        <v>1</v>
      </c>
      <c r="O81" s="48">
        <f>L81/M81</f>
        <v>0</v>
      </c>
      <c r="P81" s="43" t="s">
        <v>437</v>
      </c>
      <c r="Q81" s="48"/>
      <c r="R81" s="48"/>
      <c r="S81" s="54"/>
      <c r="T81" s="48"/>
      <c r="U81" s="48"/>
      <c r="V81" s="24" t="s">
        <v>437</v>
      </c>
      <c r="W81" s="58" t="s">
        <v>861</v>
      </c>
      <c r="X81" s="58" t="s">
        <v>861</v>
      </c>
      <c r="Y81" s="57">
        <v>43886</v>
      </c>
      <c r="Z81" s="57">
        <v>28740142</v>
      </c>
      <c r="AA81" s="57">
        <v>191518</v>
      </c>
      <c r="AB81" s="57">
        <v>146028028</v>
      </c>
      <c r="AC81" s="47">
        <f>1 - AD81</f>
        <v>0.77085182593803192</v>
      </c>
      <c r="AD81" s="47">
        <f>Y81/AA81</f>
        <v>0.22914817406196805</v>
      </c>
      <c r="AE81" s="47">
        <f>1 - AF81</f>
        <v>0.80318749493761565</v>
      </c>
      <c r="AF81" s="47">
        <f>Z81/AB81</f>
        <v>0.19681250506238432</v>
      </c>
    </row>
    <row r="82" spans="1:32" ht="69" x14ac:dyDescent="0.3">
      <c r="A82" s="34">
        <v>57</v>
      </c>
      <c r="B82" s="28" t="s">
        <v>193</v>
      </c>
      <c r="C82" s="28" t="s">
        <v>194</v>
      </c>
      <c r="D82" s="28" t="s">
        <v>24</v>
      </c>
      <c r="E82" s="28" t="s">
        <v>31</v>
      </c>
      <c r="F82" s="28" t="s">
        <v>195</v>
      </c>
      <c r="G82" s="44" t="s">
        <v>15</v>
      </c>
      <c r="H82" s="44" t="s">
        <v>15</v>
      </c>
      <c r="I82" s="45" t="str">
        <f>CONCATENATE("SUM(CASE WHEN (",F82, " IS NULL) THEN 1 ELSE 0 END) AS ",F82,",")</f>
        <v>SUM(CASE WHEN (CLM_PRVDR_PMT_AMT IS NULL) THEN 1 ELSE 0 END) AS CLM_PRVDR_PMT_AMT,</v>
      </c>
      <c r="J82" s="28" t="s">
        <v>195</v>
      </c>
      <c r="K82" s="46" t="s">
        <v>861</v>
      </c>
      <c r="L82" s="46">
        <v>0</v>
      </c>
      <c r="M82" s="46">
        <v>67078797</v>
      </c>
      <c r="N82" s="47">
        <f xml:space="preserve"> 1 -O82</f>
        <v>1</v>
      </c>
      <c r="O82" s="48">
        <f>L82/M82</f>
        <v>0</v>
      </c>
      <c r="P82" s="49" t="s">
        <v>195</v>
      </c>
      <c r="Q82" s="50"/>
      <c r="R82" s="51">
        <v>0</v>
      </c>
      <c r="S82" s="54"/>
      <c r="T82" s="48"/>
      <c r="U82" s="48"/>
      <c r="V82" s="43" t="s">
        <v>195</v>
      </c>
      <c r="W82" s="46" t="s">
        <v>861</v>
      </c>
      <c r="X82" s="46" t="s">
        <v>861</v>
      </c>
      <c r="Y82" s="46">
        <v>0</v>
      </c>
      <c r="Z82" s="46">
        <v>0</v>
      </c>
      <c r="AA82" s="46">
        <v>89974</v>
      </c>
      <c r="AB82" s="46">
        <v>71615601</v>
      </c>
      <c r="AC82" s="47">
        <f>1 - AD82</f>
        <v>1</v>
      </c>
      <c r="AD82" s="47">
        <f>Y82/AA82</f>
        <v>0</v>
      </c>
      <c r="AE82" s="47">
        <f>1 - AF82</f>
        <v>1</v>
      </c>
      <c r="AF82" s="47">
        <f>Z82/AB82</f>
        <v>0</v>
      </c>
    </row>
    <row r="83" spans="1:32" ht="110.4" x14ac:dyDescent="0.3">
      <c r="A83" s="34">
        <v>49</v>
      </c>
      <c r="B83" s="43" t="s">
        <v>163</v>
      </c>
      <c r="C83" s="28" t="s">
        <v>164</v>
      </c>
      <c r="D83" s="28" t="s">
        <v>24</v>
      </c>
      <c r="E83" s="43" t="s">
        <v>162</v>
      </c>
      <c r="F83" s="43" t="s">
        <v>166</v>
      </c>
      <c r="G83" s="44" t="s">
        <v>15</v>
      </c>
      <c r="H83" s="44" t="s">
        <v>15</v>
      </c>
      <c r="I83" s="45" t="str">
        <f>CONCATENATE("SUM(CASE WHEN (MCS.",F83," IN (' ', '~') OR MCS.",F83, " IS NULL) THEN 1 ELSE 0 END) AS ",F83,",")</f>
        <v>SUM(CASE WHEN (MCS.CLM_PRNCPL_DGNS_CD IN (' ', '~') OR MCS.CLM_PRNCPL_DGNS_CD IS NULL) THEN 1 ELSE 0 END) AS CLM_PRNCPL_DGNS_CD,</v>
      </c>
      <c r="J83" s="43" t="s">
        <v>166</v>
      </c>
      <c r="K83" s="46" t="s">
        <v>861</v>
      </c>
      <c r="L83" s="46">
        <v>0</v>
      </c>
      <c r="M83" s="46">
        <v>67126071</v>
      </c>
      <c r="N83" s="47">
        <f xml:space="preserve"> 1 -O83</f>
        <v>1</v>
      </c>
      <c r="O83" s="48">
        <f>L83/M83</f>
        <v>0</v>
      </c>
      <c r="P83" s="43" t="s">
        <v>166</v>
      </c>
      <c r="Q83" s="48"/>
      <c r="R83" s="48"/>
      <c r="S83" s="54"/>
      <c r="T83" s="48"/>
      <c r="U83" s="48"/>
      <c r="V83" s="43" t="s">
        <v>166</v>
      </c>
      <c r="W83" s="46" t="s">
        <v>861</v>
      </c>
      <c r="X83" s="46" t="s">
        <v>861</v>
      </c>
      <c r="Y83" s="46">
        <v>672</v>
      </c>
      <c r="Z83" s="46">
        <v>2447</v>
      </c>
      <c r="AA83" s="46">
        <v>89974</v>
      </c>
      <c r="AB83" s="46">
        <v>71615601</v>
      </c>
      <c r="AC83" s="47">
        <f>1 - AD83</f>
        <v>0.99253117567297222</v>
      </c>
      <c r="AD83" s="47">
        <f>Y83/AA83</f>
        <v>7.4688243270278083E-3</v>
      </c>
      <c r="AE83" s="47">
        <f>1 - AF83</f>
        <v>0.99996583146736417</v>
      </c>
      <c r="AF83" s="47">
        <f>Z83/AB83</f>
        <v>3.4168532635787E-5</v>
      </c>
    </row>
    <row r="84" spans="1:32" ht="96.6" x14ac:dyDescent="0.3">
      <c r="A84" s="34">
        <v>155</v>
      </c>
      <c r="B84" s="28" t="s">
        <v>505</v>
      </c>
      <c r="C84" s="28" t="s">
        <v>506</v>
      </c>
      <c r="D84" s="28" t="s">
        <v>24</v>
      </c>
      <c r="E84" s="28" t="s">
        <v>436</v>
      </c>
      <c r="F84" s="28" t="s">
        <v>507</v>
      </c>
      <c r="G84" s="44" t="s">
        <v>15</v>
      </c>
      <c r="H84" s="44" t="s">
        <v>15</v>
      </c>
      <c r="I84" s="45" t="str">
        <f>CONCATENATE("SUM(CASE WHEN (MCS.",F84," IN (' ', '~') OR MCS.",F84, " IS NULL) THEN 1 ELSE 0 END) AS ",F84,",")</f>
        <v>SUM(CASE WHEN (MCS.CLM_PRMRY_PYR_CD IN (' ', '~') OR MCS.CLM_PRMRY_PYR_CD IS NULL) THEN 1 ELSE 0 END) AS CLM_PRMRY_PYR_CD,</v>
      </c>
      <c r="J84" s="28" t="s">
        <v>507</v>
      </c>
      <c r="K84" s="46" t="s">
        <v>861</v>
      </c>
      <c r="L84" s="46">
        <v>0</v>
      </c>
      <c r="M84" s="46">
        <v>135449900</v>
      </c>
      <c r="N84" s="47">
        <f xml:space="preserve"> 1 -O84</f>
        <v>1</v>
      </c>
      <c r="O84" s="48">
        <f>L84/M84</f>
        <v>0</v>
      </c>
      <c r="P84" s="28" t="s">
        <v>507</v>
      </c>
      <c r="Q84" s="48"/>
      <c r="R84" s="48"/>
      <c r="S84" s="54"/>
      <c r="T84" s="48"/>
      <c r="U84" s="48"/>
      <c r="V84" s="24" t="s">
        <v>507</v>
      </c>
      <c r="W84" s="58" t="s">
        <v>862</v>
      </c>
      <c r="X84" s="58" t="s">
        <v>862</v>
      </c>
      <c r="Y84" s="57">
        <v>191518</v>
      </c>
      <c r="Z84" s="57">
        <v>146028028</v>
      </c>
      <c r="AA84" s="57">
        <v>191518</v>
      </c>
      <c r="AB84" s="57">
        <v>146028028</v>
      </c>
      <c r="AC84" s="47">
        <f>1 - AD84</f>
        <v>0</v>
      </c>
      <c r="AD84" s="47">
        <f>Y84/AA84</f>
        <v>1</v>
      </c>
      <c r="AE84" s="47">
        <f>1 - AF84</f>
        <v>0</v>
      </c>
      <c r="AF84" s="47">
        <f>Z84/AB84</f>
        <v>1</v>
      </c>
    </row>
    <row r="85" spans="1:32" ht="96.6" x14ac:dyDescent="0.3">
      <c r="A85" s="34">
        <v>167</v>
      </c>
      <c r="B85" s="28" t="s">
        <v>541</v>
      </c>
      <c r="C85" s="28" t="s">
        <v>542</v>
      </c>
      <c r="D85" s="28" t="s">
        <v>24</v>
      </c>
      <c r="E85" s="28" t="s">
        <v>436</v>
      </c>
      <c r="F85" s="28" t="s">
        <v>543</v>
      </c>
      <c r="G85" s="55" t="s">
        <v>15</v>
      </c>
      <c r="H85" s="44" t="s">
        <v>15</v>
      </c>
      <c r="I85" s="45" t="str">
        <f>CONCATENATE("SUM(CASE WHEN (MCS.",F85," IN (' ', '~') OR MCS.",F85, " IS NULL) THEN 1 ELSE 0 END) AS ",F85,",")</f>
        <v>SUM(CASE WHEN (MCS.CLM_PRCSG_IND_CD IN (' ', '~') OR MCS.CLM_PRCSG_IND_CD IS NULL) THEN 1 ELSE 0 END) AS CLM_PRCSG_IND_CD,</v>
      </c>
      <c r="J85" s="28" t="s">
        <v>543</v>
      </c>
      <c r="K85" s="46" t="s">
        <v>861</v>
      </c>
      <c r="L85" s="46">
        <v>0</v>
      </c>
      <c r="M85" s="46">
        <v>135449900</v>
      </c>
      <c r="N85" s="47">
        <f xml:space="preserve"> 1 -O85</f>
        <v>1</v>
      </c>
      <c r="O85" s="48">
        <f>L85/M85</f>
        <v>0</v>
      </c>
      <c r="P85" s="28" t="s">
        <v>543</v>
      </c>
      <c r="Q85" s="48"/>
      <c r="R85" s="48"/>
      <c r="S85" s="54"/>
      <c r="T85" s="48"/>
      <c r="U85" s="48"/>
      <c r="V85" s="24" t="s">
        <v>543</v>
      </c>
      <c r="W85" s="58" t="s">
        <v>862</v>
      </c>
      <c r="X85" s="58" t="s">
        <v>862</v>
      </c>
      <c r="Y85" s="57">
        <v>191518</v>
      </c>
      <c r="Z85" s="57">
        <v>146028028</v>
      </c>
      <c r="AA85" s="57">
        <v>191518</v>
      </c>
      <c r="AB85" s="57">
        <v>146028028</v>
      </c>
      <c r="AC85" s="47">
        <f>1 - AD85</f>
        <v>0</v>
      </c>
      <c r="AD85" s="47">
        <f>Y85/AA85</f>
        <v>1</v>
      </c>
      <c r="AE85" s="47">
        <f>1 - AF85</f>
        <v>0</v>
      </c>
      <c r="AF85" s="47">
        <f>Z85/AB85</f>
        <v>1</v>
      </c>
    </row>
    <row r="86" spans="1:32" ht="58.8" customHeight="1" x14ac:dyDescent="0.3">
      <c r="A86" s="34">
        <v>140</v>
      </c>
      <c r="B86" s="28" t="s">
        <v>459</v>
      </c>
      <c r="C86" s="28" t="s">
        <v>460</v>
      </c>
      <c r="D86" s="28" t="s">
        <v>24</v>
      </c>
      <c r="E86" s="28" t="s">
        <v>436</v>
      </c>
      <c r="F86" s="28" t="s">
        <v>461</v>
      </c>
      <c r="G86" s="44" t="s">
        <v>15</v>
      </c>
      <c r="H86" s="44" t="s">
        <v>15</v>
      </c>
      <c r="I86" s="45" t="str">
        <f>CONCATENATE("SUM(CASE WHEN (MCS.",F86," IN (' ', '~') OR MCS.",F86, " IS NULL) THEN 1 ELSE 0 END) AS ",F86,",")</f>
        <v>SUM(CASE WHEN (MCS.CLM_PRCNG_LCLTY_CD IN (' ', '~') OR MCS.CLM_PRCNG_LCLTY_CD IS NULL) THEN 1 ELSE 0 END) AS CLM_PRCNG_LCLTY_CD,</v>
      </c>
      <c r="J86" s="28" t="s">
        <v>461</v>
      </c>
      <c r="K86" s="46" t="s">
        <v>861</v>
      </c>
      <c r="L86" s="46">
        <v>0</v>
      </c>
      <c r="M86" s="46">
        <v>135449900</v>
      </c>
      <c r="N86" s="47">
        <f xml:space="preserve"> 1 -O86</f>
        <v>1</v>
      </c>
      <c r="O86" s="48">
        <f>L86/M86</f>
        <v>0</v>
      </c>
      <c r="P86" s="28" t="s">
        <v>461</v>
      </c>
      <c r="Q86" s="48"/>
      <c r="R86" s="48"/>
      <c r="S86" s="54"/>
      <c r="T86" s="48"/>
      <c r="U86" s="48"/>
      <c r="V86" s="24" t="s">
        <v>461</v>
      </c>
      <c r="W86" s="58" t="s">
        <v>862</v>
      </c>
      <c r="X86" s="58" t="s">
        <v>862</v>
      </c>
      <c r="Y86" s="57">
        <v>191518</v>
      </c>
      <c r="Z86" s="57">
        <v>146028028</v>
      </c>
      <c r="AA86" s="57">
        <v>191518</v>
      </c>
      <c r="AB86" s="57">
        <v>146028028</v>
      </c>
      <c r="AC86" s="47">
        <f>1 - AD86</f>
        <v>0</v>
      </c>
      <c r="AD86" s="47">
        <f>Y86/AA86</f>
        <v>1</v>
      </c>
      <c r="AE86" s="47">
        <f>1 - AF86</f>
        <v>0</v>
      </c>
      <c r="AF86" s="47">
        <f>Z86/AB86</f>
        <v>1</v>
      </c>
    </row>
    <row r="87" spans="1:32" ht="110.4" x14ac:dyDescent="0.3">
      <c r="A87" s="34">
        <v>200</v>
      </c>
      <c r="B87" s="28" t="s">
        <v>651</v>
      </c>
      <c r="C87" s="28" t="s">
        <v>652</v>
      </c>
      <c r="D87" s="43" t="s">
        <v>653</v>
      </c>
      <c r="E87" s="28" t="s">
        <v>436</v>
      </c>
      <c r="F87" s="28" t="s">
        <v>654</v>
      </c>
      <c r="G87" s="28" t="s">
        <v>860</v>
      </c>
      <c r="H87" s="44" t="s">
        <v>15</v>
      </c>
      <c r="I87" s="45" t="str">
        <f>CONCATENATE("SUM(CASE WHEN (MCS.",F87," IN (' ', '~') OR MCS.",F87, " IS NULL) THEN 1 ELSE 0 END) AS ",F87,",")</f>
        <v>SUM(CASE WHEN (MCS.CLM_POS_PRVDR_ZIP5_CD IN (' ', '~') OR MCS.CLM_POS_PRVDR_ZIP5_CD IS NULL) THEN 1 ELSE 0 END) AS CLM_POS_PRVDR_ZIP5_CD,</v>
      </c>
      <c r="J87" s="28" t="s">
        <v>654</v>
      </c>
      <c r="K87" s="46" t="s">
        <v>861</v>
      </c>
      <c r="L87" s="46">
        <v>0</v>
      </c>
      <c r="M87" s="46">
        <v>135449900</v>
      </c>
      <c r="N87" s="47">
        <f xml:space="preserve"> 1 -O87</f>
        <v>1</v>
      </c>
      <c r="O87" s="48">
        <f>L87/M87</f>
        <v>0</v>
      </c>
      <c r="P87" s="28" t="s">
        <v>654</v>
      </c>
      <c r="Q87" s="48"/>
      <c r="R87" s="48"/>
      <c r="S87" s="54"/>
      <c r="T87" s="48"/>
      <c r="U87" s="48"/>
      <c r="V87" s="24" t="s">
        <v>654</v>
      </c>
      <c r="W87" s="58" t="s">
        <v>862</v>
      </c>
      <c r="X87" s="58" t="s">
        <v>862</v>
      </c>
      <c r="Y87" s="57">
        <v>191518</v>
      </c>
      <c r="Z87" s="57">
        <v>146028028</v>
      </c>
      <c r="AA87" s="57">
        <v>191518</v>
      </c>
      <c r="AB87" s="57">
        <v>146028028</v>
      </c>
      <c r="AC87" s="47">
        <f>1 - AD87</f>
        <v>0</v>
      </c>
      <c r="AD87" s="47">
        <f>Y87/AA87</f>
        <v>1</v>
      </c>
      <c r="AE87" s="47">
        <f>1 - AF87</f>
        <v>0</v>
      </c>
      <c r="AF87" s="47">
        <f>Z87/AB87</f>
        <v>1</v>
      </c>
    </row>
    <row r="88" spans="1:32" ht="110.4" x14ac:dyDescent="0.3">
      <c r="A88" s="34">
        <v>200</v>
      </c>
      <c r="B88" s="28" t="s">
        <v>651</v>
      </c>
      <c r="C88" s="28" t="s">
        <v>652</v>
      </c>
      <c r="D88" s="43" t="s">
        <v>655</v>
      </c>
      <c r="E88" s="28" t="s">
        <v>436</v>
      </c>
      <c r="F88" s="28" t="s">
        <v>656</v>
      </c>
      <c r="G88" s="28" t="s">
        <v>860</v>
      </c>
      <c r="H88" s="44" t="s">
        <v>15</v>
      </c>
      <c r="I88" s="45" t="str">
        <f>CONCATENATE("SUM(CASE WHEN (MCS.",F88," IN (' ', '~') OR MCS.",F88, " IS NULL) THEN 1 ELSE 0 END) AS ",F88,",")</f>
        <v>SUM(CASE WHEN (MCS.CLM_POS_PRVDR_ZIP4_CD IN (' ', '~') OR MCS.CLM_POS_PRVDR_ZIP4_CD IS NULL) THEN 1 ELSE 0 END) AS CLM_POS_PRVDR_ZIP4_CD,</v>
      </c>
      <c r="J88" s="28" t="s">
        <v>656</v>
      </c>
      <c r="K88" s="46" t="s">
        <v>861</v>
      </c>
      <c r="L88" s="46">
        <v>0</v>
      </c>
      <c r="M88" s="46">
        <v>135449900</v>
      </c>
      <c r="N88" s="47">
        <f xml:space="preserve"> 1 -O88</f>
        <v>1</v>
      </c>
      <c r="O88" s="48">
        <f>L88/M88</f>
        <v>0</v>
      </c>
      <c r="P88" s="28" t="s">
        <v>656</v>
      </c>
      <c r="Q88" s="48"/>
      <c r="R88" s="48"/>
      <c r="S88" s="54"/>
      <c r="T88" s="48"/>
      <c r="U88" s="48"/>
      <c r="V88" s="24" t="s">
        <v>656</v>
      </c>
      <c r="W88" s="58" t="s">
        <v>862</v>
      </c>
      <c r="X88" s="58" t="s">
        <v>862</v>
      </c>
      <c r="Y88" s="57">
        <v>191518</v>
      </c>
      <c r="Z88" s="57">
        <v>146028028</v>
      </c>
      <c r="AA88" s="57">
        <v>191518</v>
      </c>
      <c r="AB88" s="57">
        <v>146028028</v>
      </c>
      <c r="AC88" s="47">
        <f>1 - AD88</f>
        <v>0</v>
      </c>
      <c r="AD88" s="47">
        <f>Y88/AA88</f>
        <v>1</v>
      </c>
      <c r="AE88" s="47">
        <f>1 - AF88</f>
        <v>0</v>
      </c>
      <c r="AF88" s="47">
        <f>Z88/AB88</f>
        <v>1</v>
      </c>
    </row>
    <row r="89" spans="1:32" ht="138" x14ac:dyDescent="0.3">
      <c r="A89" s="34">
        <v>199</v>
      </c>
      <c r="B89" s="28" t="s">
        <v>648</v>
      </c>
      <c r="C89" s="28" t="s">
        <v>649</v>
      </c>
      <c r="D89" s="28" t="s">
        <v>24</v>
      </c>
      <c r="E89" s="28" t="s">
        <v>436</v>
      </c>
      <c r="F89" s="28" t="s">
        <v>650</v>
      </c>
      <c r="G89" s="28" t="s">
        <v>860</v>
      </c>
      <c r="H89" s="44" t="s">
        <v>15</v>
      </c>
      <c r="I89" s="45" t="str">
        <f>CONCATENATE("SUM(CASE WHEN (MCS.",F89," IN (' ', '~') OR MCS.",F89, " IS NULL) THEN 1 ELSE 0 END) AS ",F89,",")</f>
        <v>SUM(CASE WHEN (MCS.CLM_POS_PRVDR_USPS_STATE_CD IN (' ', '~') OR MCS.CLM_POS_PRVDR_USPS_STATE_CD IS NULL) THEN 1 ELSE 0 END) AS CLM_POS_PRVDR_USPS_STATE_CD,</v>
      </c>
      <c r="J89" s="28" t="s">
        <v>650</v>
      </c>
      <c r="K89" s="46" t="s">
        <v>861</v>
      </c>
      <c r="L89" s="46">
        <v>0</v>
      </c>
      <c r="M89" s="46">
        <v>135449900</v>
      </c>
      <c r="N89" s="47">
        <f xml:space="preserve"> 1 -O89</f>
        <v>1</v>
      </c>
      <c r="O89" s="48">
        <f>L89/M89</f>
        <v>0</v>
      </c>
      <c r="P89" s="28" t="s">
        <v>650</v>
      </c>
      <c r="Q89" s="48"/>
      <c r="R89" s="48"/>
      <c r="S89" s="54"/>
      <c r="T89" s="48"/>
      <c r="U89" s="48"/>
      <c r="V89" s="24" t="s">
        <v>650</v>
      </c>
      <c r="W89" s="58" t="s">
        <v>862</v>
      </c>
      <c r="X89" s="58" t="s">
        <v>862</v>
      </c>
      <c r="Y89" s="57">
        <v>191518</v>
      </c>
      <c r="Z89" s="57">
        <v>146028028</v>
      </c>
      <c r="AA89" s="57">
        <v>191518</v>
      </c>
      <c r="AB89" s="57">
        <v>146028028</v>
      </c>
      <c r="AC89" s="47">
        <f>1 - AD89</f>
        <v>0</v>
      </c>
      <c r="AD89" s="47">
        <f>Y89/AA89</f>
        <v>1</v>
      </c>
      <c r="AE89" s="47">
        <f>1 - AF89</f>
        <v>0</v>
      </c>
      <c r="AF89" s="47">
        <f>Z89/AB89</f>
        <v>1</v>
      </c>
    </row>
    <row r="90" spans="1:32" ht="82.8" x14ac:dyDescent="0.3">
      <c r="A90" s="34">
        <v>195</v>
      </c>
      <c r="B90" s="28" t="s">
        <v>636</v>
      </c>
      <c r="C90" s="28" t="s">
        <v>637</v>
      </c>
      <c r="D90" s="28" t="s">
        <v>24</v>
      </c>
      <c r="E90" s="28" t="s">
        <v>436</v>
      </c>
      <c r="F90" s="28" t="s">
        <v>638</v>
      </c>
      <c r="G90" s="28" t="s">
        <v>860</v>
      </c>
      <c r="H90" s="44" t="s">
        <v>15</v>
      </c>
      <c r="I90" s="45" t="str">
        <f>CONCATENATE("SUM(CASE WHEN (MCS.",F90, " IS NULL) THEN 1 ELSE 0 END) AS ",F90,",")</f>
        <v>SUM(CASE WHEN (MCS.CLM_POS_PRVDR_MDL_NAME IS NULL) THEN 1 ELSE 0 END) AS CLM_POS_PRVDR_MDL_NAME,</v>
      </c>
      <c r="J90" s="28" t="s">
        <v>638</v>
      </c>
      <c r="K90" s="46" t="s">
        <v>861</v>
      </c>
      <c r="L90" s="46">
        <v>0</v>
      </c>
      <c r="M90" s="46">
        <v>135449900</v>
      </c>
      <c r="N90" s="47">
        <f xml:space="preserve"> 1 -O90</f>
        <v>1</v>
      </c>
      <c r="O90" s="48">
        <f>L90/M90</f>
        <v>0</v>
      </c>
      <c r="P90" s="28" t="s">
        <v>638</v>
      </c>
      <c r="Q90" s="48"/>
      <c r="R90" s="48"/>
      <c r="S90" s="54"/>
      <c r="T90" s="48"/>
      <c r="U90" s="48"/>
      <c r="V90" s="24" t="s">
        <v>638</v>
      </c>
      <c r="W90" s="58" t="s">
        <v>862</v>
      </c>
      <c r="X90" s="58" t="s">
        <v>862</v>
      </c>
      <c r="Y90" s="57">
        <v>191518</v>
      </c>
      <c r="Z90" s="57">
        <v>146028028</v>
      </c>
      <c r="AA90" s="57">
        <v>191518</v>
      </c>
      <c r="AB90" s="57">
        <v>146028028</v>
      </c>
      <c r="AC90" s="47">
        <f>1 - AD90</f>
        <v>0</v>
      </c>
      <c r="AD90" s="47">
        <f>Y90/AA90</f>
        <v>1</v>
      </c>
      <c r="AE90" s="47">
        <f>1 - AF90</f>
        <v>0</v>
      </c>
      <c r="AF90" s="47">
        <f>Z90/AB90</f>
        <v>1</v>
      </c>
    </row>
    <row r="91" spans="1:32" ht="82.8" x14ac:dyDescent="0.3">
      <c r="A91" s="34">
        <v>198</v>
      </c>
      <c r="B91" s="28" t="s">
        <v>645</v>
      </c>
      <c r="C91" s="28" t="s">
        <v>646</v>
      </c>
      <c r="D91" s="28" t="s">
        <v>24</v>
      </c>
      <c r="E91" s="28" t="s">
        <v>436</v>
      </c>
      <c r="F91" s="28" t="s">
        <v>647</v>
      </c>
      <c r="G91" s="28" t="s">
        <v>860</v>
      </c>
      <c r="H91" s="44" t="s">
        <v>15</v>
      </c>
      <c r="I91" s="45" t="str">
        <f>CONCATENATE("SUM(CASE WHEN (MCS.",F91, " IS NULL) THEN 1 ELSE 0 END) AS ",F91,",")</f>
        <v>SUM(CASE WHEN (MCS.CLM_POS_PRVDR_CITY_NAME IS NULL) THEN 1 ELSE 0 END) AS CLM_POS_PRVDR_CITY_NAME,</v>
      </c>
      <c r="J91" s="28" t="s">
        <v>647</v>
      </c>
      <c r="K91" s="46" t="s">
        <v>861</v>
      </c>
      <c r="L91" s="46">
        <v>0</v>
      </c>
      <c r="M91" s="46">
        <v>135449900</v>
      </c>
      <c r="N91" s="47">
        <f xml:space="preserve"> 1 -O91</f>
        <v>1</v>
      </c>
      <c r="O91" s="48">
        <f>L91/M91</f>
        <v>0</v>
      </c>
      <c r="P91" s="28" t="s">
        <v>647</v>
      </c>
      <c r="Q91" s="48"/>
      <c r="R91" s="48"/>
      <c r="S91" s="54"/>
      <c r="T91" s="48"/>
      <c r="U91" s="48"/>
      <c r="V91" s="24" t="s">
        <v>647</v>
      </c>
      <c r="W91" s="58" t="s">
        <v>862</v>
      </c>
      <c r="X91" s="58" t="s">
        <v>862</v>
      </c>
      <c r="Y91" s="57">
        <v>191518</v>
      </c>
      <c r="Z91" s="57">
        <v>146028028</v>
      </c>
      <c r="AA91" s="57">
        <v>191518</v>
      </c>
      <c r="AB91" s="57">
        <v>146028028</v>
      </c>
      <c r="AC91" s="47">
        <f>1 - AD91</f>
        <v>0</v>
      </c>
      <c r="AD91" s="47">
        <f>Y91/AA91</f>
        <v>1</v>
      </c>
      <c r="AE91" s="47">
        <f>1 - AF91</f>
        <v>0</v>
      </c>
      <c r="AF91" s="47">
        <f>Z91/AB91</f>
        <v>1</v>
      </c>
    </row>
    <row r="92" spans="1:32" ht="124.2" x14ac:dyDescent="0.3">
      <c r="A92" s="34">
        <v>197</v>
      </c>
      <c r="B92" s="28" t="s">
        <v>642</v>
      </c>
      <c r="C92" s="28" t="s">
        <v>643</v>
      </c>
      <c r="D92" s="28" t="s">
        <v>24</v>
      </c>
      <c r="E92" s="28" t="s">
        <v>436</v>
      </c>
      <c r="F92" s="28" t="s">
        <v>644</v>
      </c>
      <c r="G92" s="28" t="s">
        <v>860</v>
      </c>
      <c r="H92" s="44" t="s">
        <v>15</v>
      </c>
      <c r="I92" s="45" t="str">
        <f>CONCATENATE("SUM(CASE WHEN (MCS.",F92," IN (' ', '~') OR MCS.",F92, " IS NULL) THEN 1 ELSE 0 END) AS ",F92,",")</f>
        <v>SUM(CASE WHEN (MCS.CLM_POS_PRVDR_2ND_LINE_ADR IN (' ', '~') OR MCS.CLM_POS_PRVDR_2ND_LINE_ADR IS NULL) THEN 1 ELSE 0 END) AS CLM_POS_PRVDR_2ND_LINE_ADR,</v>
      </c>
      <c r="J92" s="28" t="s">
        <v>644</v>
      </c>
      <c r="K92" s="46" t="s">
        <v>861</v>
      </c>
      <c r="L92" s="46">
        <v>0</v>
      </c>
      <c r="M92" s="46">
        <v>135449900</v>
      </c>
      <c r="N92" s="47">
        <f xml:space="preserve"> 1 -O92</f>
        <v>1</v>
      </c>
      <c r="O92" s="48">
        <f>L92/M92</f>
        <v>0</v>
      </c>
      <c r="P92" s="28" t="s">
        <v>644</v>
      </c>
      <c r="Q92" s="48"/>
      <c r="R92" s="48"/>
      <c r="S92" s="54"/>
      <c r="T92" s="48"/>
      <c r="U92" s="48"/>
      <c r="V92" s="24" t="s">
        <v>644</v>
      </c>
      <c r="W92" s="58" t="s">
        <v>862</v>
      </c>
      <c r="X92" s="58" t="s">
        <v>862</v>
      </c>
      <c r="Y92" s="57">
        <v>191518</v>
      </c>
      <c r="Z92" s="57">
        <v>146028028</v>
      </c>
      <c r="AA92" s="57">
        <v>191518</v>
      </c>
      <c r="AB92" s="57">
        <v>146028028</v>
      </c>
      <c r="AC92" s="47">
        <f>1 - AD92</f>
        <v>0</v>
      </c>
      <c r="AD92" s="47">
        <f>Y92/AA92</f>
        <v>1</v>
      </c>
      <c r="AE92" s="47">
        <f>1 - AF92</f>
        <v>0</v>
      </c>
      <c r="AF92" s="47">
        <f>Z92/AB92</f>
        <v>1</v>
      </c>
    </row>
    <row r="93" spans="1:32" ht="82.8" x14ac:dyDescent="0.3">
      <c r="A93" s="34">
        <v>194</v>
      </c>
      <c r="B93" s="28" t="s">
        <v>633</v>
      </c>
      <c r="C93" s="28" t="s">
        <v>634</v>
      </c>
      <c r="D93" s="28" t="s">
        <v>24</v>
      </c>
      <c r="E93" s="28" t="s">
        <v>436</v>
      </c>
      <c r="F93" s="28" t="s">
        <v>635</v>
      </c>
      <c r="G93" s="28" t="s">
        <v>860</v>
      </c>
      <c r="H93" s="44" t="s">
        <v>15</v>
      </c>
      <c r="I93" s="45" t="str">
        <f>CONCATENATE("SUM(CASE WHEN (MCS.",F93, " IS NULL) THEN 1 ELSE 0 END) AS ",F93,",")</f>
        <v>SUM(CASE WHEN (MCS.CLM_POS_PRVDR_1ST_NAME IS NULL) THEN 1 ELSE 0 END) AS CLM_POS_PRVDR_1ST_NAME,</v>
      </c>
      <c r="J93" s="28" t="s">
        <v>635</v>
      </c>
      <c r="K93" s="46" t="s">
        <v>861</v>
      </c>
      <c r="L93" s="46">
        <v>0</v>
      </c>
      <c r="M93" s="46">
        <v>135449900</v>
      </c>
      <c r="N93" s="47">
        <f xml:space="preserve"> 1 -O93</f>
        <v>1</v>
      </c>
      <c r="O93" s="48">
        <f>L93/M93</f>
        <v>0</v>
      </c>
      <c r="P93" s="28" t="s">
        <v>635</v>
      </c>
      <c r="Q93" s="48"/>
      <c r="R93" s="48"/>
      <c r="S93" s="54"/>
      <c r="T93" s="48"/>
      <c r="U93" s="48"/>
      <c r="V93" s="24" t="s">
        <v>635</v>
      </c>
      <c r="W93" s="58" t="s">
        <v>862</v>
      </c>
      <c r="X93" s="58" t="s">
        <v>862</v>
      </c>
      <c r="Y93" s="57">
        <v>191518</v>
      </c>
      <c r="Z93" s="57">
        <v>146028028</v>
      </c>
      <c r="AA93" s="57">
        <v>191518</v>
      </c>
      <c r="AB93" s="57">
        <v>146028028</v>
      </c>
      <c r="AC93" s="47">
        <f>1 - AD93</f>
        <v>0</v>
      </c>
      <c r="AD93" s="47">
        <f>Y93/AA93</f>
        <v>1</v>
      </c>
      <c r="AE93" s="47">
        <f>1 - AF93</f>
        <v>0</v>
      </c>
      <c r="AF93" s="47">
        <f>Z93/AB93</f>
        <v>1</v>
      </c>
    </row>
    <row r="94" spans="1:32" ht="124.2" x14ac:dyDescent="0.3">
      <c r="A94" s="34">
        <v>196</v>
      </c>
      <c r="B94" s="28" t="s">
        <v>639</v>
      </c>
      <c r="C94" s="28" t="s">
        <v>640</v>
      </c>
      <c r="D94" s="28" t="s">
        <v>24</v>
      </c>
      <c r="E94" s="28" t="s">
        <v>436</v>
      </c>
      <c r="F94" s="28" t="s">
        <v>641</v>
      </c>
      <c r="G94" s="28" t="s">
        <v>860</v>
      </c>
      <c r="H94" s="44" t="s">
        <v>15</v>
      </c>
      <c r="I94" s="45" t="str">
        <f>CONCATENATE("SUM(CASE WHEN (MCS.",F94," IN (' ', '~') OR MCS.",F94, " IS NULL) THEN 1 ELSE 0 END) AS ",F94,",")</f>
        <v>SUM(CASE WHEN (MCS.CLM_POS_PRVDR_1ST_LINE_ADR IN (' ', '~') OR MCS.CLM_POS_PRVDR_1ST_LINE_ADR IS NULL) THEN 1 ELSE 0 END) AS CLM_POS_PRVDR_1ST_LINE_ADR,</v>
      </c>
      <c r="J94" s="28" t="s">
        <v>641</v>
      </c>
      <c r="K94" s="46" t="s">
        <v>861</v>
      </c>
      <c r="L94" s="46">
        <v>0</v>
      </c>
      <c r="M94" s="46">
        <v>135449900</v>
      </c>
      <c r="N94" s="47">
        <f xml:space="preserve"> 1 -O94</f>
        <v>1</v>
      </c>
      <c r="O94" s="48">
        <f>L94/M94</f>
        <v>0</v>
      </c>
      <c r="P94" s="28" t="s">
        <v>641</v>
      </c>
      <c r="Q94" s="48"/>
      <c r="R94" s="48"/>
      <c r="S94" s="54"/>
      <c r="T94" s="48"/>
      <c r="U94" s="48"/>
      <c r="V94" s="24" t="s">
        <v>641</v>
      </c>
      <c r="W94" s="58" t="s">
        <v>862</v>
      </c>
      <c r="X94" s="58" t="s">
        <v>862</v>
      </c>
      <c r="Y94" s="57">
        <v>191518</v>
      </c>
      <c r="Z94" s="57">
        <v>146028028</v>
      </c>
      <c r="AA94" s="57">
        <v>191518</v>
      </c>
      <c r="AB94" s="57">
        <v>146028028</v>
      </c>
      <c r="AC94" s="47">
        <f>1 - AD94</f>
        <v>0</v>
      </c>
      <c r="AD94" s="47">
        <f>Y94/AA94</f>
        <v>1</v>
      </c>
      <c r="AE94" s="47">
        <f>1 - AF94</f>
        <v>0</v>
      </c>
      <c r="AF94" s="47">
        <f>Z94/AB94</f>
        <v>1</v>
      </c>
    </row>
    <row r="95" spans="1:32" ht="96.6" x14ac:dyDescent="0.3">
      <c r="A95" s="34">
        <v>193</v>
      </c>
      <c r="B95" s="28" t="s">
        <v>630</v>
      </c>
      <c r="C95" s="28" t="s">
        <v>631</v>
      </c>
      <c r="D95" s="28" t="s">
        <v>24</v>
      </c>
      <c r="E95" s="28" t="s">
        <v>436</v>
      </c>
      <c r="F95" s="28" t="s">
        <v>632</v>
      </c>
      <c r="G95" s="28" t="s">
        <v>860</v>
      </c>
      <c r="H95" s="44" t="s">
        <v>15</v>
      </c>
      <c r="I95" s="45" t="str">
        <f>CONCATENATE("SUM(CASE WHEN (MCS.",F95, " IS NULL) THEN 1 ELSE 0 END) AS ",F95,",")</f>
        <v>SUM(CASE WHEN (MCS.CLM_POS_PHYSN_ORG_NAME IS NULL) THEN 1 ELSE 0 END) AS CLM_POS_PHYSN_ORG_NAME,</v>
      </c>
      <c r="J95" s="28" t="s">
        <v>632</v>
      </c>
      <c r="K95" s="46" t="s">
        <v>861</v>
      </c>
      <c r="L95" s="46">
        <v>0</v>
      </c>
      <c r="M95" s="46">
        <v>135449900</v>
      </c>
      <c r="N95" s="47">
        <f xml:space="preserve"> 1 -O95</f>
        <v>1</v>
      </c>
      <c r="O95" s="48">
        <f>L95/M95</f>
        <v>0</v>
      </c>
      <c r="P95" s="28" t="s">
        <v>632</v>
      </c>
      <c r="Q95" s="48"/>
      <c r="R95" s="48"/>
      <c r="S95" s="54"/>
      <c r="T95" s="48"/>
      <c r="U95" s="48"/>
      <c r="V95" s="24" t="s">
        <v>632</v>
      </c>
      <c r="W95" s="58" t="s">
        <v>862</v>
      </c>
      <c r="X95" s="58" t="s">
        <v>862</v>
      </c>
      <c r="Y95" s="57">
        <v>191518</v>
      </c>
      <c r="Z95" s="57">
        <v>146028028</v>
      </c>
      <c r="AA95" s="57">
        <v>191518</v>
      </c>
      <c r="AB95" s="57">
        <v>146028028</v>
      </c>
      <c r="AC95" s="47">
        <f>1 - AD95</f>
        <v>0</v>
      </c>
      <c r="AD95" s="47">
        <f>Y95/AA95</f>
        <v>1</v>
      </c>
      <c r="AE95" s="47">
        <f>1 - AF95</f>
        <v>0</v>
      </c>
      <c r="AF95" s="47">
        <f>Z95/AB95</f>
        <v>1</v>
      </c>
    </row>
    <row r="96" spans="1:32" ht="82.8" x14ac:dyDescent="0.3">
      <c r="A96" s="34">
        <v>139</v>
      </c>
      <c r="B96" s="28" t="s">
        <v>456</v>
      </c>
      <c r="C96" s="28" t="s">
        <v>457</v>
      </c>
      <c r="D96" s="28" t="s">
        <v>24</v>
      </c>
      <c r="E96" s="28" t="s">
        <v>57</v>
      </c>
      <c r="F96" s="28" t="s">
        <v>458</v>
      </c>
      <c r="G96" s="44" t="s">
        <v>15</v>
      </c>
      <c r="H96" s="44" t="s">
        <v>15</v>
      </c>
      <c r="I96" s="45" t="str">
        <f>CONCATENATE("SUM(CASE WHEN (MCS.",F96," IN (' ', '~') OR MCS.",F96, " IS NULL) THEN 1 ELSE 0 END) AS ",F96,",")</f>
        <v>SUM(CASE WHEN (MCS.CLM_POS_CD IN (' ', '~') OR MCS.CLM_POS_CD IS NULL) THEN 1 ELSE 0 END) AS CLM_POS_CD,</v>
      </c>
      <c r="J96" s="28" t="s">
        <v>458</v>
      </c>
      <c r="K96" s="46" t="s">
        <v>861</v>
      </c>
      <c r="L96" s="46">
        <v>0</v>
      </c>
      <c r="M96" s="46">
        <v>135351338</v>
      </c>
      <c r="N96" s="47">
        <f xml:space="preserve"> 1 -O96</f>
        <v>1</v>
      </c>
      <c r="O96" s="48">
        <f>L96/M96</f>
        <v>0</v>
      </c>
      <c r="P96" s="28" t="s">
        <v>458</v>
      </c>
      <c r="Q96" s="48"/>
      <c r="R96" s="48"/>
      <c r="S96" s="54"/>
      <c r="T96" s="48"/>
      <c r="U96" s="48"/>
      <c r="V96" s="43" t="s">
        <v>458</v>
      </c>
      <c r="W96" s="46" t="s">
        <v>861</v>
      </c>
      <c r="X96" s="46" t="s">
        <v>861</v>
      </c>
      <c r="Y96" s="46">
        <v>33</v>
      </c>
      <c r="Z96" s="46">
        <v>94</v>
      </c>
      <c r="AA96" s="46">
        <v>191518</v>
      </c>
      <c r="AB96" s="46">
        <v>146028028</v>
      </c>
      <c r="AC96" s="47">
        <f>1 - AD96</f>
        <v>0.99982769243622005</v>
      </c>
      <c r="AD96" s="47">
        <f>Y96/AA96</f>
        <v>1.7230756377990581E-4</v>
      </c>
      <c r="AE96" s="47">
        <f>1 - AF96</f>
        <v>0.99999935628795866</v>
      </c>
      <c r="AF96" s="47">
        <f>Z96/AB96</f>
        <v>6.4371204136236094E-7</v>
      </c>
    </row>
    <row r="97" spans="1:32" ht="96.6" x14ac:dyDescent="0.3">
      <c r="A97" s="34">
        <v>170</v>
      </c>
      <c r="B97" s="28" t="s">
        <v>550</v>
      </c>
      <c r="C97" s="28" t="s">
        <v>551</v>
      </c>
      <c r="D97" s="28" t="s">
        <v>24</v>
      </c>
      <c r="E97" s="28" t="s">
        <v>436</v>
      </c>
      <c r="F97" s="28" t="s">
        <v>552</v>
      </c>
      <c r="G97" s="44" t="s">
        <v>15</v>
      </c>
      <c r="H97" s="44" t="s">
        <v>15</v>
      </c>
      <c r="I97" s="45" t="str">
        <f>CONCATENATE("SUM(CASE WHEN (MCS.",F97," IN (' ', '~') OR MCS.",F97, " IS NULL) THEN 1 ELSE 0 END) AS ",F97,",")</f>
        <v>SUM(CASE WHEN (MCS.CLM_PMT_IND_CD IN (' ', '~') OR MCS.CLM_PMT_IND_CD IS NULL) THEN 1 ELSE 0 END) AS CLM_PMT_IND_CD,</v>
      </c>
      <c r="J97" s="28" t="s">
        <v>552</v>
      </c>
      <c r="K97" s="46" t="s">
        <v>861</v>
      </c>
      <c r="L97" s="46">
        <v>0</v>
      </c>
      <c r="M97" s="46">
        <v>135449900</v>
      </c>
      <c r="N97" s="47">
        <f xml:space="preserve"> 1 -O97</f>
        <v>1</v>
      </c>
      <c r="O97" s="48">
        <f>L97/M97</f>
        <v>0</v>
      </c>
      <c r="P97" s="28" t="s">
        <v>552</v>
      </c>
      <c r="Q97" s="48"/>
      <c r="R97" s="48"/>
      <c r="S97" s="54"/>
      <c r="T97" s="48"/>
      <c r="U97" s="48"/>
      <c r="V97" s="24" t="s">
        <v>552</v>
      </c>
      <c r="W97" s="58" t="s">
        <v>862</v>
      </c>
      <c r="X97" s="58" t="s">
        <v>862</v>
      </c>
      <c r="Y97" s="57">
        <v>191518</v>
      </c>
      <c r="Z97" s="57">
        <v>146028028</v>
      </c>
      <c r="AA97" s="57">
        <v>191518</v>
      </c>
      <c r="AB97" s="57">
        <v>146028028</v>
      </c>
      <c r="AC97" s="47">
        <f>1 - AD97</f>
        <v>0</v>
      </c>
      <c r="AD97" s="47">
        <f>Y97/AA97</f>
        <v>1</v>
      </c>
      <c r="AE97" s="47">
        <f>1 - AF97</f>
        <v>0</v>
      </c>
      <c r="AF97" s="47">
        <f>Z97/AB97</f>
        <v>1</v>
      </c>
    </row>
    <row r="98" spans="1:32" ht="69" x14ac:dyDescent="0.3">
      <c r="A98" s="34">
        <v>52</v>
      </c>
      <c r="B98" s="28" t="s">
        <v>175</v>
      </c>
      <c r="C98" s="28" t="s">
        <v>176</v>
      </c>
      <c r="D98" s="28" t="s">
        <v>24</v>
      </c>
      <c r="E98" s="28" t="s">
        <v>31</v>
      </c>
      <c r="F98" s="28" t="s">
        <v>177</v>
      </c>
      <c r="G98" s="44" t="s">
        <v>15</v>
      </c>
      <c r="H98" s="44" t="s">
        <v>15</v>
      </c>
      <c r="I98" s="45" t="str">
        <f>CONCATENATE("SUM(CASE WHEN (",F98, " IS NULL) THEN 1 ELSE 0 END) AS ",F98,",")</f>
        <v>SUM(CASE WHEN (CLM_PMT_AMT IS NULL) THEN 1 ELSE 0 END) AS CLM_PMT_AMT,</v>
      </c>
      <c r="J98" s="28" t="s">
        <v>177</v>
      </c>
      <c r="K98" s="46" t="s">
        <v>861</v>
      </c>
      <c r="L98" s="46">
        <v>0</v>
      </c>
      <c r="M98" s="46">
        <v>67078797</v>
      </c>
      <c r="N98" s="47">
        <f xml:space="preserve"> 1 -O98</f>
        <v>1</v>
      </c>
      <c r="O98" s="48">
        <f>L98/M98</f>
        <v>0</v>
      </c>
      <c r="P98" s="49" t="s">
        <v>177</v>
      </c>
      <c r="Q98" s="50"/>
      <c r="R98" s="51">
        <v>0</v>
      </c>
      <c r="S98" s="54"/>
      <c r="T98" s="48"/>
      <c r="U98" s="48"/>
      <c r="V98" s="43" t="s">
        <v>177</v>
      </c>
      <c r="W98" s="46" t="s">
        <v>861</v>
      </c>
      <c r="X98" s="46" t="s">
        <v>861</v>
      </c>
      <c r="Y98" s="46">
        <v>0</v>
      </c>
      <c r="Z98" s="46">
        <v>0</v>
      </c>
      <c r="AA98" s="46">
        <v>89974</v>
      </c>
      <c r="AB98" s="46">
        <v>71615601</v>
      </c>
      <c r="AC98" s="47">
        <f>1 - AD98</f>
        <v>1</v>
      </c>
      <c r="AD98" s="47">
        <f>Y98/AA98</f>
        <v>0</v>
      </c>
      <c r="AE98" s="47">
        <f>1 - AF98</f>
        <v>1</v>
      </c>
      <c r="AF98" s="47">
        <f>Z98/AB98</f>
        <v>0</v>
      </c>
    </row>
    <row r="99" spans="1:32" ht="96.6" x14ac:dyDescent="0.3">
      <c r="A99" s="34">
        <v>168</v>
      </c>
      <c r="B99" s="28" t="s">
        <v>544</v>
      </c>
      <c r="C99" s="28" t="s">
        <v>545</v>
      </c>
      <c r="D99" s="28" t="s">
        <v>24</v>
      </c>
      <c r="E99" s="28" t="s">
        <v>436</v>
      </c>
      <c r="F99" s="28" t="s">
        <v>546</v>
      </c>
      <c r="G99" s="44" t="s">
        <v>15</v>
      </c>
      <c r="H99" s="44" t="s">
        <v>15</v>
      </c>
      <c r="I99" s="45" t="str">
        <f>CONCATENATE("SUM(CASE WHEN (MCS.",F99," IN (' ', '~') OR MCS.",F99, " IS NULL) THEN 1 ELSE 0 END) AS ",F99,",")</f>
        <v>SUM(CASE WHEN (MCS.CLM_PMT_80_100_CD IN (' ', '~') OR MCS.CLM_PMT_80_100_CD IS NULL) THEN 1 ELSE 0 END) AS CLM_PMT_80_100_CD,</v>
      </c>
      <c r="J99" s="28" t="s">
        <v>546</v>
      </c>
      <c r="K99" s="46" t="s">
        <v>861</v>
      </c>
      <c r="L99" s="46">
        <v>0</v>
      </c>
      <c r="M99" s="46">
        <v>135449900</v>
      </c>
      <c r="N99" s="47">
        <f xml:space="preserve"> 1 -O99</f>
        <v>1</v>
      </c>
      <c r="O99" s="48">
        <f>L99/M99</f>
        <v>0</v>
      </c>
      <c r="P99" s="28" t="s">
        <v>546</v>
      </c>
      <c r="Q99" s="48"/>
      <c r="R99" s="48"/>
      <c r="S99" s="54"/>
      <c r="T99" s="48"/>
      <c r="U99" s="48"/>
      <c r="V99" s="24" t="s">
        <v>546</v>
      </c>
      <c r="W99" s="58" t="s">
        <v>861</v>
      </c>
      <c r="X99" s="58" t="s">
        <v>861</v>
      </c>
      <c r="Y99" s="59">
        <v>0</v>
      </c>
      <c r="Z99" s="59">
        <v>0</v>
      </c>
      <c r="AA99" s="57">
        <v>191518</v>
      </c>
      <c r="AB99" s="57">
        <v>146028028</v>
      </c>
      <c r="AC99" s="47">
        <f>1 - AD99</f>
        <v>1</v>
      </c>
      <c r="AD99" s="47">
        <v>0</v>
      </c>
      <c r="AE99" s="47">
        <f>1 - AF99</f>
        <v>1</v>
      </c>
      <c r="AF99" s="47">
        <v>0</v>
      </c>
    </row>
    <row r="100" spans="1:32" ht="110.4" x14ac:dyDescent="0.3">
      <c r="A100" s="34">
        <v>135</v>
      </c>
      <c r="B100" s="28" t="s">
        <v>441</v>
      </c>
      <c r="C100" s="28" t="s">
        <v>442</v>
      </c>
      <c r="D100" s="28" t="s">
        <v>24</v>
      </c>
      <c r="E100" s="28" t="s">
        <v>436</v>
      </c>
      <c r="F100" s="28" t="s">
        <v>443</v>
      </c>
      <c r="G100" s="55" t="s">
        <v>15</v>
      </c>
      <c r="H100" s="44" t="s">
        <v>15</v>
      </c>
      <c r="I100" s="45" t="str">
        <f>CONCATENATE("SUM(CASE WHEN (MCS.",F100," IN (' ', '~') OR MCS.",F100, " IS NULL) THEN 1 ELSE 0 END) AS ",F100,",")</f>
        <v>SUM(CASE WHEN (MCS.CLM_PHYSN_ASTNT_CD IN (' ', '~') OR MCS.CLM_PHYSN_ASTNT_CD IS NULL) THEN 1 ELSE 0 END) AS CLM_PHYSN_ASTNT_CD,</v>
      </c>
      <c r="J100" s="28" t="s">
        <v>443</v>
      </c>
      <c r="K100" s="46" t="s">
        <v>861</v>
      </c>
      <c r="L100" s="46">
        <v>0</v>
      </c>
      <c r="M100" s="46">
        <v>135449900</v>
      </c>
      <c r="N100" s="47">
        <f xml:space="preserve"> 1 -O100</f>
        <v>1</v>
      </c>
      <c r="O100" s="48">
        <f>L100/M100</f>
        <v>0</v>
      </c>
      <c r="P100" s="28" t="s">
        <v>443</v>
      </c>
      <c r="Q100" s="48"/>
      <c r="R100" s="48"/>
      <c r="S100" s="54"/>
      <c r="T100" s="48"/>
      <c r="U100" s="48"/>
      <c r="V100" s="24" t="s">
        <v>443</v>
      </c>
      <c r="W100" s="58" t="s">
        <v>862</v>
      </c>
      <c r="X100" s="58" t="s">
        <v>862</v>
      </c>
      <c r="Y100" s="57">
        <v>191518</v>
      </c>
      <c r="Z100" s="57">
        <v>146028028</v>
      </c>
      <c r="AA100" s="57">
        <v>191518</v>
      </c>
      <c r="AB100" s="57">
        <v>146028028</v>
      </c>
      <c r="AC100" s="47">
        <f>1 - AD100</f>
        <v>0</v>
      </c>
      <c r="AD100" s="47">
        <f>Y100/AA100</f>
        <v>1</v>
      </c>
      <c r="AE100" s="47">
        <f>1 - AF100</f>
        <v>0</v>
      </c>
      <c r="AF100" s="47">
        <f>Z100/AB100</f>
        <v>1</v>
      </c>
    </row>
    <row r="101" spans="1:32" ht="69" x14ac:dyDescent="0.3">
      <c r="A101" s="34">
        <v>34</v>
      </c>
      <c r="B101" s="28" t="s">
        <v>112</v>
      </c>
      <c r="C101" s="28" t="s">
        <v>113</v>
      </c>
      <c r="D101" s="28" t="s">
        <v>24</v>
      </c>
      <c r="E101" s="28" t="s">
        <v>31</v>
      </c>
      <c r="F101" s="43" t="s">
        <v>115</v>
      </c>
      <c r="G101" s="44" t="s">
        <v>15</v>
      </c>
      <c r="H101" s="44" t="s">
        <v>15</v>
      </c>
      <c r="I101" s="45" t="str">
        <f>CONCATENATE("SUM(CASE WHEN (",F101, " IS NULL) THEN 1 ELSE 0 END) AS ",F101,",")</f>
        <v>SUM(CASE WHEN (CLM_PD_DT IS NULL) THEN 1 ELSE 0 END) AS CLM_PD_DT,</v>
      </c>
      <c r="J101" s="43" t="s">
        <v>115</v>
      </c>
      <c r="K101" s="46" t="s">
        <v>861</v>
      </c>
      <c r="L101" s="46">
        <v>0</v>
      </c>
      <c r="M101" s="46">
        <v>67078797</v>
      </c>
      <c r="N101" s="47">
        <f xml:space="preserve"> 1 -O101</f>
        <v>1</v>
      </c>
      <c r="O101" s="48">
        <f>L101/M101</f>
        <v>0</v>
      </c>
      <c r="P101" s="49" t="s">
        <v>115</v>
      </c>
      <c r="Q101" s="50"/>
      <c r="R101" s="51">
        <v>0</v>
      </c>
      <c r="S101" s="54"/>
      <c r="T101" s="48"/>
      <c r="U101" s="48"/>
      <c r="V101" s="43" t="s">
        <v>115</v>
      </c>
      <c r="W101" s="46" t="s">
        <v>861</v>
      </c>
      <c r="X101" s="46" t="s">
        <v>861</v>
      </c>
      <c r="Y101" s="46">
        <v>0</v>
      </c>
      <c r="Z101" s="46">
        <v>0</v>
      </c>
      <c r="AA101" s="46">
        <v>89974</v>
      </c>
      <c r="AB101" s="46">
        <v>71615601</v>
      </c>
      <c r="AC101" s="47">
        <f>1 - AD101</f>
        <v>1</v>
      </c>
      <c r="AD101" s="47">
        <f>Y101/AA101</f>
        <v>0</v>
      </c>
      <c r="AE101" s="47">
        <f>1 - AF101</f>
        <v>1</v>
      </c>
      <c r="AF101" s="47">
        <f>Z101/AB101</f>
        <v>0</v>
      </c>
    </row>
    <row r="102" spans="1:32" ht="124.2" x14ac:dyDescent="0.3">
      <c r="A102" s="34">
        <v>80</v>
      </c>
      <c r="B102" s="43" t="s">
        <v>255</v>
      </c>
      <c r="C102" s="43" t="s">
        <v>256</v>
      </c>
      <c r="D102" s="43" t="s">
        <v>24</v>
      </c>
      <c r="E102" s="43" t="s">
        <v>170</v>
      </c>
      <c r="F102" s="28" t="s">
        <v>257</v>
      </c>
      <c r="G102" s="43" t="s">
        <v>860</v>
      </c>
      <c r="H102" s="44" t="s">
        <v>15</v>
      </c>
      <c r="I102" s="45" t="str">
        <f>CONCATENATE("SUM(CASE WHEN (MCS.",F102," IN (' ', '~') OR MCS.",F102, " IS NULL) THEN 1 ELSE 0 END) AS ",F102,",")</f>
        <v>SUM(CASE WHEN (MCS.CLM_PAPER_PRVDR_TYPE_CD IN (' ', '~') OR MCS.CLM_PAPER_PRVDR_TYPE_CD IS NULL) THEN 1 ELSE 0 END) AS CLM_PAPER_PRVDR_TYPE_CD,</v>
      </c>
      <c r="J102" s="28" t="s">
        <v>257</v>
      </c>
      <c r="K102" s="46" t="s">
        <v>861</v>
      </c>
      <c r="L102" s="46">
        <v>0</v>
      </c>
      <c r="M102" s="46">
        <v>67126071</v>
      </c>
      <c r="N102" s="47">
        <f xml:space="preserve"> 1 -O102</f>
        <v>1</v>
      </c>
      <c r="O102" s="48">
        <f>L102/M102</f>
        <v>0</v>
      </c>
      <c r="P102" s="28" t="s">
        <v>257</v>
      </c>
      <c r="Q102" s="48"/>
      <c r="R102" s="48"/>
      <c r="S102" s="54"/>
      <c r="T102" s="48"/>
      <c r="U102" s="48"/>
      <c r="V102" s="24" t="s">
        <v>257</v>
      </c>
      <c r="W102" s="57" t="s">
        <v>862</v>
      </c>
      <c r="X102" s="57" t="s">
        <v>862</v>
      </c>
      <c r="Y102" s="57">
        <v>89974</v>
      </c>
      <c r="Z102" s="57">
        <v>71615601</v>
      </c>
      <c r="AA102" s="57">
        <v>89974</v>
      </c>
      <c r="AB102" s="57">
        <v>71615601</v>
      </c>
      <c r="AC102" s="47">
        <f>1 - AD102</f>
        <v>0</v>
      </c>
      <c r="AD102" s="47">
        <f>Y102/AA102</f>
        <v>1</v>
      </c>
      <c r="AE102" s="47">
        <f>1 - AF102</f>
        <v>0</v>
      </c>
      <c r="AF102" s="47">
        <f>Z102/AB102</f>
        <v>1</v>
      </c>
    </row>
    <row r="103" spans="1:32" ht="138" x14ac:dyDescent="0.3">
      <c r="A103" s="34">
        <v>234</v>
      </c>
      <c r="B103" s="28" t="s">
        <v>765</v>
      </c>
      <c r="C103" s="28" t="s">
        <v>766</v>
      </c>
      <c r="D103" s="28" t="s">
        <v>24</v>
      </c>
      <c r="E103" s="28" t="s">
        <v>697</v>
      </c>
      <c r="F103" s="28" t="s">
        <v>767</v>
      </c>
      <c r="G103" s="28" t="s">
        <v>899</v>
      </c>
      <c r="H103" s="28" t="e">
        <v>#VALUE!</v>
      </c>
      <c r="I103" s="45" t="str">
        <f>CONCATENATE("SUM(CASE WHEN (MCS.",F103," IN (' ', '~') OR MCS.",F103, " IS NULL) THEN 1 ELSE 0 END) AS ",F103,",")</f>
        <v>SUM(CASE WHEN (MCS.CLM_PA_RP_EXCLSN_CD IN (' ', '~') OR MCS.CLM_PA_RP_EXCLSN_CD IS NULL) THEN 1 ELSE 0 END) AS CLM_PA_RP_EXCLSN_CD,</v>
      </c>
      <c r="J103" s="28" t="s">
        <v>767</v>
      </c>
      <c r="K103" s="46" t="s">
        <v>861</v>
      </c>
      <c r="L103" s="46">
        <v>135332049</v>
      </c>
      <c r="M103" s="57">
        <v>135449900</v>
      </c>
      <c r="N103" s="47">
        <f xml:space="preserve"> 1 -O103</f>
        <v>8.7007077893741513E-4</v>
      </c>
      <c r="O103" s="48">
        <f>L103/M103</f>
        <v>0.99912992922106258</v>
      </c>
      <c r="P103" s="28" t="s">
        <v>767</v>
      </c>
      <c r="Q103" s="48"/>
      <c r="R103" s="48"/>
      <c r="S103" s="54"/>
      <c r="T103" s="48"/>
      <c r="U103" s="48"/>
      <c r="V103" s="43" t="s">
        <v>767</v>
      </c>
      <c r="W103" s="46" t="s">
        <v>862</v>
      </c>
      <c r="X103" s="46" t="s">
        <v>862</v>
      </c>
      <c r="Y103" s="46">
        <v>191517</v>
      </c>
      <c r="Z103" s="46">
        <v>146028020</v>
      </c>
      <c r="AA103" s="46">
        <v>191517</v>
      </c>
      <c r="AB103" s="46">
        <v>146028020</v>
      </c>
      <c r="AC103" s="47">
        <f>1 - AD103</f>
        <v>0</v>
      </c>
      <c r="AD103" s="47">
        <f>Y103/AA103</f>
        <v>1</v>
      </c>
      <c r="AE103" s="47">
        <f>1 - AF103</f>
        <v>0</v>
      </c>
      <c r="AF103" s="47">
        <f>Z103/AB103</f>
        <v>1</v>
      </c>
    </row>
    <row r="104" spans="1:32" ht="96.6" x14ac:dyDescent="0.3">
      <c r="A104" s="34">
        <v>5</v>
      </c>
      <c r="B104" s="28" t="s">
        <v>22</v>
      </c>
      <c r="C104" s="28" t="s">
        <v>23</v>
      </c>
      <c r="D104" s="28" t="s">
        <v>24</v>
      </c>
      <c r="E104" s="28" t="s">
        <v>25</v>
      </c>
      <c r="F104" s="28" t="s">
        <v>26</v>
      </c>
      <c r="G104" s="44" t="s">
        <v>15</v>
      </c>
      <c r="H104" s="44" t="s">
        <v>15</v>
      </c>
      <c r="I104" s="45" t="str">
        <f>CONCATENATE("SUM(CASE WHEN (MCS.",F104," IN (' ', '~') OR MCS.",F104, " IS NULL) THEN 1 ELSE 0 END) AS ",F104,",")</f>
        <v>SUM(CASE WHEN (MCS.CLM_NRLN_RIC_CD IN (' ', '~') OR MCS.CLM_NRLN_RIC_CD IS NULL) THEN 1 ELSE 0 END) AS CLM_NRLN_RIC_CD,</v>
      </c>
      <c r="J104" s="28" t="s">
        <v>26</v>
      </c>
      <c r="K104" s="46" t="s">
        <v>861</v>
      </c>
      <c r="L104" s="46">
        <v>0</v>
      </c>
      <c r="M104" s="46">
        <v>67078797</v>
      </c>
      <c r="N104" s="47">
        <f xml:space="preserve"> 1 -O104</f>
        <v>1</v>
      </c>
      <c r="O104" s="48">
        <f>L104/M104</f>
        <v>0</v>
      </c>
      <c r="P104" s="28" t="s">
        <v>26</v>
      </c>
      <c r="Q104" s="48"/>
      <c r="R104" s="48"/>
      <c r="S104" s="56">
        <v>67126071</v>
      </c>
      <c r="T104" s="48"/>
      <c r="U104" s="48"/>
      <c r="V104" s="43" t="s">
        <v>26</v>
      </c>
      <c r="W104" s="46" t="s">
        <v>862</v>
      </c>
      <c r="X104" s="46" t="s">
        <v>862</v>
      </c>
      <c r="Y104" s="46">
        <v>89974</v>
      </c>
      <c r="Z104" s="46">
        <v>71615601</v>
      </c>
      <c r="AA104" s="46">
        <v>89974</v>
      </c>
      <c r="AB104" s="46">
        <v>71615601</v>
      </c>
      <c r="AC104" s="47">
        <f>1 - AD104</f>
        <v>0</v>
      </c>
      <c r="AD104" s="47">
        <f>Y104/AA104</f>
        <v>1</v>
      </c>
      <c r="AE104" s="47">
        <f>1 - AF104</f>
        <v>0</v>
      </c>
      <c r="AF104" s="47">
        <f>Z104/AB104</f>
        <v>1</v>
      </c>
    </row>
    <row r="105" spans="1:32" ht="82.8" x14ac:dyDescent="0.3">
      <c r="A105" s="34">
        <v>17</v>
      </c>
      <c r="B105" s="28" t="s">
        <v>61</v>
      </c>
      <c r="C105" s="28" t="s">
        <v>62</v>
      </c>
      <c r="D105" s="28" t="s">
        <v>54</v>
      </c>
      <c r="E105" s="28" t="s">
        <v>55</v>
      </c>
      <c r="F105" s="28" t="s">
        <v>63</v>
      </c>
      <c r="G105" s="44" t="s">
        <v>15</v>
      </c>
      <c r="H105" s="44" t="s">
        <v>15</v>
      </c>
      <c r="I105" s="45" t="str">
        <f>CONCATENATE("SUM(CASE WHEN (MCS.",F105, " IS NULL) THEN 1 ELSE 0 END) AS ",F105,",")</f>
        <v>SUM(CASE WHEN (MCS.CLM_NCH_WKLY_PROC_DT IS NULL) THEN 1 ELSE 0 END) AS CLM_NCH_WKLY_PROC_DT,</v>
      </c>
      <c r="J105" s="28" t="s">
        <v>63</v>
      </c>
      <c r="K105" s="46" t="s">
        <v>861</v>
      </c>
      <c r="L105" s="46">
        <v>0</v>
      </c>
      <c r="M105" s="46">
        <v>67078797</v>
      </c>
      <c r="N105" s="47">
        <f xml:space="preserve"> 1 -O105</f>
        <v>1</v>
      </c>
      <c r="O105" s="48">
        <f>L105/M105</f>
        <v>0</v>
      </c>
      <c r="P105" s="28" t="s">
        <v>63</v>
      </c>
      <c r="Q105" s="48"/>
      <c r="R105" s="48"/>
      <c r="S105" s="54"/>
      <c r="T105" s="48"/>
      <c r="U105" s="48"/>
      <c r="V105" s="43" t="s">
        <v>63</v>
      </c>
      <c r="W105" s="46" t="s">
        <v>861</v>
      </c>
      <c r="X105" s="46" t="s">
        <v>861</v>
      </c>
      <c r="Y105" s="46">
        <v>0</v>
      </c>
      <c r="Z105" s="46">
        <v>0</v>
      </c>
      <c r="AA105" s="46">
        <v>89974</v>
      </c>
      <c r="AB105" s="46">
        <v>71615601</v>
      </c>
      <c r="AC105" s="47">
        <f>1 - AD105</f>
        <v>1</v>
      </c>
      <c r="AD105" s="47">
        <f>Y105/AA105</f>
        <v>0</v>
      </c>
      <c r="AE105" s="47">
        <f>1 - AF105</f>
        <v>1</v>
      </c>
      <c r="AF105" s="47">
        <f>Z105/AB105</f>
        <v>0</v>
      </c>
    </row>
    <row r="106" spans="1:32" ht="110.4" x14ac:dyDescent="0.3">
      <c r="A106" s="34">
        <v>31</v>
      </c>
      <c r="B106" s="28" t="s">
        <v>103</v>
      </c>
      <c r="C106" s="28" t="s">
        <v>104</v>
      </c>
      <c r="D106" s="28" t="s">
        <v>24</v>
      </c>
      <c r="E106" s="28" t="s">
        <v>25</v>
      </c>
      <c r="F106" s="28" t="s">
        <v>105</v>
      </c>
      <c r="G106" s="44" t="s">
        <v>15</v>
      </c>
      <c r="H106" s="44" t="s">
        <v>15</v>
      </c>
      <c r="I106" s="45" t="str">
        <f>CONCATENATE("SUM(CASE WHEN (MCS.",F106," IN (' ', '~') OR MCS.",F106, " IS NULL) THEN 1 ELSE 0 END) AS ",F106,",")</f>
        <v>SUM(CASE WHEN (MCS.CLM_NCH_MDFY_BIC_CD IN (' ', '~') OR MCS.CLM_NCH_MDFY_BIC_CD IS NULL) THEN 1 ELSE 0 END) AS CLM_NCH_MDFY_BIC_CD,</v>
      </c>
      <c r="J106" s="28" t="s">
        <v>105</v>
      </c>
      <c r="K106" s="46" t="s">
        <v>861</v>
      </c>
      <c r="L106" s="46">
        <v>0</v>
      </c>
      <c r="M106" s="46">
        <v>67078797</v>
      </c>
      <c r="N106" s="47">
        <f xml:space="preserve"> 1 -O106</f>
        <v>1</v>
      </c>
      <c r="O106" s="48">
        <f>L106/M106</f>
        <v>0</v>
      </c>
      <c r="P106" s="28" t="s">
        <v>105</v>
      </c>
      <c r="Q106" s="48"/>
      <c r="R106" s="48"/>
      <c r="S106" s="56">
        <v>67126071</v>
      </c>
      <c r="T106" s="48"/>
      <c r="U106" s="48"/>
      <c r="V106" s="43" t="s">
        <v>105</v>
      </c>
      <c r="W106" s="46" t="s">
        <v>862</v>
      </c>
      <c r="X106" s="46" t="s">
        <v>862</v>
      </c>
      <c r="Y106" s="46">
        <v>89974</v>
      </c>
      <c r="Z106" s="46">
        <v>71615601</v>
      </c>
      <c r="AA106" s="46">
        <v>89974</v>
      </c>
      <c r="AB106" s="46">
        <v>71615601</v>
      </c>
      <c r="AC106" s="47">
        <f>1 - AD106</f>
        <v>0</v>
      </c>
      <c r="AD106" s="47">
        <f>Y106/AA106</f>
        <v>1</v>
      </c>
      <c r="AE106" s="47">
        <f>1 - AF106</f>
        <v>0</v>
      </c>
      <c r="AF106" s="47">
        <f>Z106/AB106</f>
        <v>1</v>
      </c>
    </row>
    <row r="107" spans="1:32" ht="69" x14ac:dyDescent="0.3">
      <c r="A107" s="34">
        <v>22</v>
      </c>
      <c r="B107" s="28" t="s">
        <v>78</v>
      </c>
      <c r="C107" s="28" t="s">
        <v>79</v>
      </c>
      <c r="D107" s="28" t="s">
        <v>24</v>
      </c>
      <c r="E107" s="28" t="s">
        <v>25</v>
      </c>
      <c r="F107" s="28" t="s">
        <v>80</v>
      </c>
      <c r="G107" s="44" t="s">
        <v>15</v>
      </c>
      <c r="H107" s="44" t="s">
        <v>15</v>
      </c>
      <c r="I107" s="45" t="str">
        <f>CONCATENATE("SUM(CASE WHEN (MCS.",F107, " IS NULL) THEN 1 ELSE 0 END) AS ",F107,",")</f>
        <v>SUM(CASE WHEN (MCS.CLM_NCH_LINK_NUM IS NULL) THEN 1 ELSE 0 END) AS CLM_NCH_LINK_NUM,</v>
      </c>
      <c r="J107" s="28" t="s">
        <v>80</v>
      </c>
      <c r="K107" s="46" t="s">
        <v>861</v>
      </c>
      <c r="L107" s="46">
        <v>0</v>
      </c>
      <c r="M107" s="46">
        <v>67078797</v>
      </c>
      <c r="N107" s="47">
        <f xml:space="preserve"> 1 -O107</f>
        <v>1</v>
      </c>
      <c r="O107" s="48">
        <f>L107/M107</f>
        <v>0</v>
      </c>
      <c r="P107" s="28" t="s">
        <v>80</v>
      </c>
      <c r="Q107" s="48"/>
      <c r="R107" s="48"/>
      <c r="S107" s="56">
        <v>67126071</v>
      </c>
      <c r="T107" s="48"/>
      <c r="U107" s="48"/>
      <c r="V107" s="43" t="s">
        <v>885</v>
      </c>
      <c r="W107" s="46" t="s">
        <v>862</v>
      </c>
      <c r="X107" s="46" t="s">
        <v>862</v>
      </c>
      <c r="Y107" s="46">
        <v>89974</v>
      </c>
      <c r="Z107" s="46">
        <v>71615601</v>
      </c>
      <c r="AA107" s="46">
        <v>89974</v>
      </c>
      <c r="AB107" s="46">
        <v>71615601</v>
      </c>
      <c r="AC107" s="47">
        <f>1 - AD107</f>
        <v>0</v>
      </c>
      <c r="AD107" s="47">
        <f>Y107/AA107</f>
        <v>1</v>
      </c>
      <c r="AE107" s="47">
        <f>1 - AF107</f>
        <v>0</v>
      </c>
      <c r="AF107" s="47">
        <f>Z107/AB107</f>
        <v>1</v>
      </c>
    </row>
    <row r="108" spans="1:32" ht="110.4" x14ac:dyDescent="0.3">
      <c r="A108" s="34">
        <v>30</v>
      </c>
      <c r="B108" s="28" t="s">
        <v>100</v>
      </c>
      <c r="C108" s="28" t="s">
        <v>101</v>
      </c>
      <c r="D108" s="28" t="s">
        <v>24</v>
      </c>
      <c r="E108" s="28" t="s">
        <v>25</v>
      </c>
      <c r="F108" s="28" t="s">
        <v>102</v>
      </c>
      <c r="G108" s="44" t="s">
        <v>15</v>
      </c>
      <c r="H108" s="44" t="s">
        <v>15</v>
      </c>
      <c r="I108" s="45" t="str">
        <f>CONCATENATE("SUM(CASE WHEN (MCS.",F108," IN (' ', '~') OR MCS.",F108, " IS NULL) THEN 1 ELSE 0 END) AS ",F108,",")</f>
        <v>SUM(CASE WHEN (MCS.CLM_NCH_EDIT_DISP_CD IN (' ', '~') OR MCS.CLM_NCH_EDIT_DISP_CD IS NULL) THEN 1 ELSE 0 END) AS CLM_NCH_EDIT_DISP_CD,</v>
      </c>
      <c r="J108" s="28" t="s">
        <v>102</v>
      </c>
      <c r="K108" s="46" t="s">
        <v>861</v>
      </c>
      <c r="L108" s="46">
        <v>0</v>
      </c>
      <c r="M108" s="46">
        <v>67078797</v>
      </c>
      <c r="N108" s="47">
        <f xml:space="preserve"> 1 -O108</f>
        <v>1</v>
      </c>
      <c r="O108" s="48">
        <f>L108/M108</f>
        <v>0</v>
      </c>
      <c r="P108" s="28" t="s">
        <v>102</v>
      </c>
      <c r="Q108" s="48"/>
      <c r="R108" s="48"/>
      <c r="S108" s="56">
        <v>67126071</v>
      </c>
      <c r="T108" s="48"/>
      <c r="U108" s="48"/>
      <c r="V108" s="43" t="s">
        <v>80</v>
      </c>
      <c r="W108" s="46" t="s">
        <v>861</v>
      </c>
      <c r="X108" s="46" t="s">
        <v>861</v>
      </c>
      <c r="Y108" s="46">
        <v>0</v>
      </c>
      <c r="Z108" s="46">
        <v>0</v>
      </c>
      <c r="AA108" s="46">
        <v>89974</v>
      </c>
      <c r="AB108" s="46">
        <v>71615601</v>
      </c>
      <c r="AC108" s="47">
        <f>1 - AD108</f>
        <v>1</v>
      </c>
      <c r="AD108" s="47">
        <f>Y108/AA108</f>
        <v>0</v>
      </c>
      <c r="AE108" s="47">
        <f>1 - AF108</f>
        <v>1</v>
      </c>
      <c r="AF108" s="47">
        <f>Z108/AB108</f>
        <v>0</v>
      </c>
    </row>
    <row r="109" spans="1:32" ht="96.6" x14ac:dyDescent="0.3">
      <c r="A109" s="34">
        <v>102</v>
      </c>
      <c r="B109" s="43" t="s">
        <v>338</v>
      </c>
      <c r="C109" s="28" t="s">
        <v>339</v>
      </c>
      <c r="D109" s="28" t="s">
        <v>316</v>
      </c>
      <c r="E109" s="43" t="s">
        <v>340</v>
      </c>
      <c r="F109" s="43" t="s">
        <v>341</v>
      </c>
      <c r="G109" s="44" t="s">
        <v>15</v>
      </c>
      <c r="H109" s="44" t="s">
        <v>15</v>
      </c>
      <c r="I109" s="45" t="str">
        <f>CONCATENATE("SUM(CASE WHEN (MCS.",F109," IN (' ', '~') OR MCS.",F109, " IS NULL) THEN 1 ELSE 0 END) AS ",F109,",")</f>
        <v>SUM(CASE WHEN (MCS.CLM_NCH_EDIT_CD IN (' ', '~') OR MCS.CLM_NCH_EDIT_CD IS NULL) THEN 1 ELSE 0 END) AS CLM_NCH_EDIT_CD,</v>
      </c>
      <c r="J109" s="43" t="s">
        <v>341</v>
      </c>
      <c r="K109" s="46" t="s">
        <v>861</v>
      </c>
      <c r="L109" s="46">
        <v>67077146</v>
      </c>
      <c r="M109" s="46">
        <v>67078797</v>
      </c>
      <c r="N109" s="47">
        <f xml:space="preserve"> 1 -O109</f>
        <v>2.4612844502835962E-5</v>
      </c>
      <c r="O109" s="48">
        <f>L109/M109</f>
        <v>0.99997538715549716</v>
      </c>
      <c r="P109" s="43" t="s">
        <v>341</v>
      </c>
      <c r="Q109" s="48"/>
      <c r="R109" s="48"/>
      <c r="S109" s="54"/>
      <c r="T109" s="48"/>
      <c r="U109" s="48"/>
      <c r="V109" s="43" t="s">
        <v>341</v>
      </c>
      <c r="W109" s="46" t="s">
        <v>862</v>
      </c>
      <c r="X109" s="46" t="s">
        <v>862</v>
      </c>
      <c r="Y109" s="46">
        <v>89974</v>
      </c>
      <c r="Z109" s="46">
        <v>71615601</v>
      </c>
      <c r="AA109" s="46">
        <v>89974</v>
      </c>
      <c r="AB109" s="46">
        <v>71615601</v>
      </c>
      <c r="AC109" s="47">
        <f>1 - AD109</f>
        <v>0</v>
      </c>
      <c r="AD109" s="47">
        <f>Y109/AA109</f>
        <v>1</v>
      </c>
      <c r="AE109" s="47">
        <f>1 - AF109</f>
        <v>0</v>
      </c>
      <c r="AF109" s="47">
        <f>Z109/AB109</f>
        <v>1</v>
      </c>
    </row>
    <row r="110" spans="1:32" ht="82.8" x14ac:dyDescent="0.3">
      <c r="A110" s="34">
        <v>21</v>
      </c>
      <c r="B110" s="28" t="s">
        <v>75</v>
      </c>
      <c r="C110" s="28" t="s">
        <v>76</v>
      </c>
      <c r="D110" s="28" t="s">
        <v>54</v>
      </c>
      <c r="E110" s="28" t="s">
        <v>55</v>
      </c>
      <c r="F110" s="28" t="s">
        <v>77</v>
      </c>
      <c r="G110" s="44" t="s">
        <v>15</v>
      </c>
      <c r="H110" s="44" t="s">
        <v>15</v>
      </c>
      <c r="I110" s="45" t="str">
        <f>CONCATENATE("SUM(CASE WHEN (MCS.",F110, " IS NULL) THEN 1 ELSE 0 END) AS ",F110,",")</f>
        <v>SUM(CASE WHEN (MCS.CLM_NCH_DLY_PROC_DT IS NULL) THEN 1 ELSE 0 END) AS CLM_NCH_DLY_PROC_DT,</v>
      </c>
      <c r="J110" s="28" t="s">
        <v>77</v>
      </c>
      <c r="K110" s="46" t="s">
        <v>861</v>
      </c>
      <c r="L110" s="46">
        <v>0</v>
      </c>
      <c r="M110" s="46">
        <v>67078797</v>
      </c>
      <c r="N110" s="47">
        <f xml:space="preserve"> 1 -O110</f>
        <v>1</v>
      </c>
      <c r="O110" s="48">
        <f>L110/M110</f>
        <v>0</v>
      </c>
      <c r="P110" s="28" t="s">
        <v>77</v>
      </c>
      <c r="Q110" s="48"/>
      <c r="R110" s="48"/>
      <c r="S110" s="54"/>
      <c r="T110" s="48"/>
      <c r="U110" s="48"/>
      <c r="V110" s="43" t="s">
        <v>77</v>
      </c>
      <c r="W110" s="46" t="s">
        <v>861</v>
      </c>
      <c r="X110" s="46" t="s">
        <v>861</v>
      </c>
      <c r="Y110" s="46">
        <v>0</v>
      </c>
      <c r="Z110" s="46">
        <v>0</v>
      </c>
      <c r="AA110" s="46">
        <v>89974</v>
      </c>
      <c r="AB110" s="46">
        <v>71615601</v>
      </c>
      <c r="AC110" s="47">
        <f>1 - AD110</f>
        <v>1</v>
      </c>
      <c r="AD110" s="47">
        <f>Y110/AA110</f>
        <v>0</v>
      </c>
      <c r="AE110" s="47">
        <f>1 - AF110</f>
        <v>1</v>
      </c>
      <c r="AF110" s="47">
        <f>Z110/AB110</f>
        <v>0</v>
      </c>
    </row>
    <row r="111" spans="1:32" ht="96.6" x14ac:dyDescent="0.3">
      <c r="A111" s="34">
        <v>172</v>
      </c>
      <c r="B111" s="28" t="s">
        <v>556</v>
      </c>
      <c r="C111" s="28" t="s">
        <v>557</v>
      </c>
      <c r="D111" s="28" t="s">
        <v>24</v>
      </c>
      <c r="E111" s="28" t="s">
        <v>436</v>
      </c>
      <c r="F111" s="28" t="s">
        <v>558</v>
      </c>
      <c r="G111" s="55" t="s">
        <v>15</v>
      </c>
      <c r="H111" s="44" t="s">
        <v>15</v>
      </c>
      <c r="I111" s="45" t="str">
        <f>CONCATENATE("SUM(CASE WHEN (MCS.",F111," IN (' ', '~') OR MCS.",F111, " IS NULL) THEN 1 ELSE 0 END) AS ",F111,",")</f>
        <v>SUM(CASE WHEN (MCS.CLM_MTUS_IND_CD IN (' ', '~') OR MCS.CLM_MTUS_IND_CD IS NULL) THEN 1 ELSE 0 END) AS CLM_MTUS_IND_CD,</v>
      </c>
      <c r="J111" s="28" t="s">
        <v>558</v>
      </c>
      <c r="K111" s="46" t="s">
        <v>861</v>
      </c>
      <c r="L111" s="46">
        <v>0</v>
      </c>
      <c r="M111" s="46">
        <v>135449900</v>
      </c>
      <c r="N111" s="47">
        <f xml:space="preserve"> 1 -O111</f>
        <v>1</v>
      </c>
      <c r="O111" s="48">
        <f>L111/M111</f>
        <v>0</v>
      </c>
      <c r="P111" s="28" t="s">
        <v>558</v>
      </c>
      <c r="Q111" s="48"/>
      <c r="R111" s="48"/>
      <c r="S111" s="54"/>
      <c r="T111" s="48"/>
      <c r="U111" s="48"/>
      <c r="V111" s="24" t="s">
        <v>558</v>
      </c>
      <c r="W111" s="58" t="s">
        <v>862</v>
      </c>
      <c r="X111" s="58" t="s">
        <v>862</v>
      </c>
      <c r="Y111" s="57">
        <v>191518</v>
      </c>
      <c r="Z111" s="57">
        <v>146028028</v>
      </c>
      <c r="AA111" s="57">
        <v>191518</v>
      </c>
      <c r="AB111" s="57">
        <v>146028028</v>
      </c>
      <c r="AC111" s="47">
        <f>1 - AD111</f>
        <v>0</v>
      </c>
      <c r="AD111" s="47">
        <f>Y111/AA111</f>
        <v>1</v>
      </c>
      <c r="AE111" s="47">
        <f>1 - AF111</f>
        <v>0</v>
      </c>
      <c r="AF111" s="47">
        <f>Z111/AB111</f>
        <v>1</v>
      </c>
    </row>
    <row r="112" spans="1:32" ht="96.6" x14ac:dyDescent="0.3">
      <c r="A112" s="34">
        <v>160</v>
      </c>
      <c r="B112" s="28" t="s">
        <v>520</v>
      </c>
      <c r="C112" s="28" t="s">
        <v>521</v>
      </c>
      <c r="D112" s="28" t="s">
        <v>24</v>
      </c>
      <c r="E112" s="43" t="s">
        <v>436</v>
      </c>
      <c r="F112" s="43" t="s">
        <v>522</v>
      </c>
      <c r="G112" s="44" t="s">
        <v>15</v>
      </c>
      <c r="H112" s="44" t="s">
        <v>15</v>
      </c>
      <c r="I112" s="45" t="str">
        <f>CONCATENATE("SUM(CASE WHEN (MCS.",F112, " IS NULL) THEN 1 ELSE 0 END) AS ",F112,",")</f>
        <v>SUM(CASE WHEN (MCS.CLM_MDCR_PRMRY_PYR_ALOWD_AMT IS NULL) THEN 1 ELSE 0 END) AS CLM_MDCR_PRMRY_PYR_ALOWD_AMT,</v>
      </c>
      <c r="J112" s="43" t="s">
        <v>522</v>
      </c>
      <c r="K112" s="46" t="s">
        <v>861</v>
      </c>
      <c r="L112" s="46">
        <v>0</v>
      </c>
      <c r="M112" s="46">
        <v>135449900</v>
      </c>
      <c r="N112" s="47">
        <f xml:space="preserve"> 1 -O112</f>
        <v>1</v>
      </c>
      <c r="O112" s="48">
        <f>L112/M112</f>
        <v>0</v>
      </c>
      <c r="P112" s="43" t="s">
        <v>522</v>
      </c>
      <c r="Q112" s="48"/>
      <c r="R112" s="48"/>
      <c r="S112" s="54"/>
      <c r="T112" s="48"/>
      <c r="U112" s="48"/>
      <c r="V112" s="24" t="s">
        <v>522</v>
      </c>
      <c r="W112" s="58" t="s">
        <v>862</v>
      </c>
      <c r="X112" s="58" t="s">
        <v>862</v>
      </c>
      <c r="Y112" s="57">
        <v>191518</v>
      </c>
      <c r="Z112" s="57">
        <v>146028028</v>
      </c>
      <c r="AA112" s="57">
        <v>191518</v>
      </c>
      <c r="AB112" s="57">
        <v>146028028</v>
      </c>
      <c r="AC112" s="47">
        <f>1 - AD112</f>
        <v>0</v>
      </c>
      <c r="AD112" s="47">
        <f>Y112/AA112</f>
        <v>1</v>
      </c>
      <c r="AE112" s="47">
        <f>1 - AF112</f>
        <v>0</v>
      </c>
      <c r="AF112" s="47">
        <f>Z112/AB112</f>
        <v>1</v>
      </c>
    </row>
    <row r="113" spans="1:32" ht="138" x14ac:dyDescent="0.3">
      <c r="A113" s="34">
        <v>56</v>
      </c>
      <c r="B113" s="28" t="s">
        <v>190</v>
      </c>
      <c r="C113" s="28" t="s">
        <v>191</v>
      </c>
      <c r="D113" s="28" t="s">
        <v>24</v>
      </c>
      <c r="E113" s="28" t="s">
        <v>170</v>
      </c>
      <c r="F113" s="28" t="s">
        <v>192</v>
      </c>
      <c r="G113" s="44" t="s">
        <v>15</v>
      </c>
      <c r="H113" s="44" t="s">
        <v>15</v>
      </c>
      <c r="I113" s="45" t="str">
        <f>CONCATENATE("SUM(CASE WHEN (MCS.",F113," IN (' ', '~') OR MCS.",F113, " IS NULL) THEN 1 ELSE 0 END) AS ",F113,",")</f>
        <v>SUM(CASE WHEN (MCS.CLM_MDCR_PRFNL_PRVDR_ASGNMT_SW IN (' ', '~') OR MCS.CLM_MDCR_PRFNL_PRVDR_ASGNMT_SW IS NULL) THEN 1 ELSE 0 END) AS CLM_MDCR_PRFNL_PRVDR_ASGNMT_SW,</v>
      </c>
      <c r="J113" s="28" t="s">
        <v>192</v>
      </c>
      <c r="K113" s="46" t="s">
        <v>861</v>
      </c>
      <c r="L113" s="46">
        <v>0</v>
      </c>
      <c r="M113" s="46">
        <v>67126071</v>
      </c>
      <c r="N113" s="47">
        <f xml:space="preserve"> 1 -O113</f>
        <v>1</v>
      </c>
      <c r="O113" s="48">
        <f>L113/M113</f>
        <v>0</v>
      </c>
      <c r="P113" s="28" t="s">
        <v>192</v>
      </c>
      <c r="Q113" s="48"/>
      <c r="R113" s="48"/>
      <c r="S113" s="54"/>
      <c r="T113" s="48"/>
      <c r="U113" s="48"/>
      <c r="V113" s="24" t="s">
        <v>192</v>
      </c>
      <c r="W113" s="59" t="s">
        <v>861</v>
      </c>
      <c r="X113" s="59" t="s">
        <v>861</v>
      </c>
      <c r="Y113" s="59">
        <v>3</v>
      </c>
      <c r="Z113" s="59">
        <v>0</v>
      </c>
      <c r="AA113" s="57">
        <v>89974</v>
      </c>
      <c r="AB113" s="57">
        <v>71615601</v>
      </c>
      <c r="AC113" s="47">
        <f>1 - AD113</f>
        <v>0.99996665703425436</v>
      </c>
      <c r="AD113" s="47">
        <f>Y113/AA113</f>
        <v>3.3342965745659854E-5</v>
      </c>
      <c r="AE113" s="47">
        <f>1 - AF113</f>
        <v>1</v>
      </c>
      <c r="AF113" s="47">
        <v>0</v>
      </c>
    </row>
    <row r="114" spans="1:32" ht="96.6" x14ac:dyDescent="0.3">
      <c r="A114" s="34">
        <v>53</v>
      </c>
      <c r="B114" s="28" t="s">
        <v>178</v>
      </c>
      <c r="C114" s="28" t="s">
        <v>179</v>
      </c>
      <c r="D114" s="28" t="s">
        <v>24</v>
      </c>
      <c r="E114" s="28" t="s">
        <v>170</v>
      </c>
      <c r="F114" s="28" t="s">
        <v>180</v>
      </c>
      <c r="G114" s="44" t="s">
        <v>15</v>
      </c>
      <c r="H114" s="44" t="s">
        <v>15</v>
      </c>
      <c r="I114" s="45" t="str">
        <f>CONCATENATE("SUM(CASE WHEN (MCS.",F114, " IS NULL) THEN 1 ELSE 0 END) AS ",F114,",")</f>
        <v>SUM(CASE WHEN (MCS.CLM_MDCR_PRFNL_PRMRY_PYR_AMT IS NULL) THEN 1 ELSE 0 END) AS CLM_MDCR_PRFNL_PRMRY_PYR_AMT,</v>
      </c>
      <c r="J114" s="28" t="s">
        <v>180</v>
      </c>
      <c r="K114" s="46" t="s">
        <v>861</v>
      </c>
      <c r="L114" s="46">
        <v>0</v>
      </c>
      <c r="M114" s="46">
        <v>67126071</v>
      </c>
      <c r="N114" s="47">
        <f xml:space="preserve"> 1 -O114</f>
        <v>1</v>
      </c>
      <c r="O114" s="48">
        <f>L114/M114</f>
        <v>0</v>
      </c>
      <c r="P114" s="28" t="s">
        <v>180</v>
      </c>
      <c r="Q114" s="48"/>
      <c r="R114" s="48"/>
      <c r="S114" s="54"/>
      <c r="T114" s="48"/>
      <c r="U114" s="48"/>
      <c r="V114" s="24" t="s">
        <v>180</v>
      </c>
      <c r="W114" s="57" t="s">
        <v>862</v>
      </c>
      <c r="X114" s="57" t="s">
        <v>862</v>
      </c>
      <c r="Y114" s="57">
        <v>89974</v>
      </c>
      <c r="Z114" s="57">
        <v>71615601</v>
      </c>
      <c r="AA114" s="57">
        <v>89974</v>
      </c>
      <c r="AB114" s="57">
        <v>71615601</v>
      </c>
      <c r="AC114" s="47">
        <f>1 - AD114</f>
        <v>0</v>
      </c>
      <c r="AD114" s="47">
        <f>Y114/AA114</f>
        <v>1</v>
      </c>
      <c r="AE114" s="47">
        <f>1 - AF114</f>
        <v>0</v>
      </c>
      <c r="AF114" s="47">
        <f>Z114/AB114</f>
        <v>1</v>
      </c>
    </row>
    <row r="115" spans="1:32" ht="82.8" x14ac:dyDescent="0.3">
      <c r="A115" s="35">
        <v>96</v>
      </c>
      <c r="B115" s="28" t="s">
        <v>324</v>
      </c>
      <c r="C115" s="28" t="s">
        <v>325</v>
      </c>
      <c r="D115" s="28" t="s">
        <v>24</v>
      </c>
      <c r="E115" s="28" t="s">
        <v>170</v>
      </c>
      <c r="F115" s="28" t="s">
        <v>326</v>
      </c>
      <c r="G115" s="44" t="s">
        <v>15</v>
      </c>
      <c r="H115" s="44" t="s">
        <v>15</v>
      </c>
      <c r="I115" s="45" t="str">
        <f>CONCATENATE("SUM(CASE WHEN (",F115, " IS NULL) THEN 1 ELSE 0 END) AS ",F115,",")</f>
        <v>SUM(CASE WHEN (CLM_MDCR_PRFNL_MCO_PRD_CNT IS NULL) THEN 1 ELSE 0 END) AS CLM_MDCR_PRFNL_MCO_PRD_CNT,</v>
      </c>
      <c r="J115" s="28" t="s">
        <v>326</v>
      </c>
      <c r="K115" s="46" t="s">
        <v>861</v>
      </c>
      <c r="L115" s="46">
        <v>0</v>
      </c>
      <c r="M115" s="46">
        <v>67126071</v>
      </c>
      <c r="N115" s="47">
        <f xml:space="preserve"> 1 -O115</f>
        <v>1</v>
      </c>
      <c r="O115" s="48">
        <f>L115/M115</f>
        <v>0</v>
      </c>
      <c r="P115" s="28" t="s">
        <v>326</v>
      </c>
      <c r="Q115" s="48"/>
      <c r="R115" s="48"/>
      <c r="S115" s="54"/>
      <c r="T115" s="48"/>
      <c r="U115" s="48"/>
      <c r="V115" s="24" t="s">
        <v>326</v>
      </c>
      <c r="W115" s="57" t="s">
        <v>862</v>
      </c>
      <c r="X115" s="57" t="s">
        <v>862</v>
      </c>
      <c r="Y115" s="57">
        <v>89974</v>
      </c>
      <c r="Z115" s="57">
        <v>71615601</v>
      </c>
      <c r="AA115" s="57">
        <v>89974</v>
      </c>
      <c r="AB115" s="57">
        <v>71615601</v>
      </c>
      <c r="AC115" s="47">
        <f>1 - AD115</f>
        <v>0</v>
      </c>
      <c r="AD115" s="47">
        <f>Y115/AA115</f>
        <v>1</v>
      </c>
      <c r="AE115" s="47">
        <f>1 - AF115</f>
        <v>0</v>
      </c>
      <c r="AF115" s="47">
        <f>Z115/AB115</f>
        <v>1</v>
      </c>
    </row>
    <row r="116" spans="1:32" ht="138" x14ac:dyDescent="0.3">
      <c r="A116" s="34">
        <v>66</v>
      </c>
      <c r="B116" s="28" t="s">
        <v>221</v>
      </c>
      <c r="C116" s="28" t="s">
        <v>222</v>
      </c>
      <c r="D116" s="28" t="s">
        <v>24</v>
      </c>
      <c r="E116" s="28" t="s">
        <v>170</v>
      </c>
      <c r="F116" s="28" t="s">
        <v>223</v>
      </c>
      <c r="G116" s="44" t="s">
        <v>15</v>
      </c>
      <c r="H116" s="44" t="s">
        <v>15</v>
      </c>
      <c r="I116" s="45" t="str">
        <f>CONCATENATE("SUM(CASE WHEN (MCS.",F116," IN (' ', '~') OR MCS.",F116, " IS NULL) THEN 1 ELSE 0 END) AS ",F116,",")</f>
        <v>SUM(CASE WHEN (MCS.CLM_MDCR_PRFNL_BUSNS_SGMT_CD IN (' ', '~') OR MCS.CLM_MDCR_PRFNL_BUSNS_SGMT_CD IS NULL) THEN 1 ELSE 0 END) AS CLM_MDCR_PRFNL_BUSNS_SGMT_CD,</v>
      </c>
      <c r="J116" s="28" t="s">
        <v>223</v>
      </c>
      <c r="K116" s="46" t="s">
        <v>861</v>
      </c>
      <c r="L116" s="46">
        <v>0</v>
      </c>
      <c r="M116" s="46">
        <v>67126071</v>
      </c>
      <c r="N116" s="47">
        <f xml:space="preserve"> 1 -O116</f>
        <v>1</v>
      </c>
      <c r="O116" s="48">
        <f>L116/M116</f>
        <v>0</v>
      </c>
      <c r="P116" s="28" t="s">
        <v>223</v>
      </c>
      <c r="Q116" s="48"/>
      <c r="R116" s="48"/>
      <c r="S116" s="54"/>
      <c r="T116" s="48"/>
      <c r="U116" s="48"/>
      <c r="V116" s="24" t="s">
        <v>223</v>
      </c>
      <c r="W116" s="57" t="s">
        <v>862</v>
      </c>
      <c r="X116" s="57" t="s">
        <v>862</v>
      </c>
      <c r="Y116" s="57">
        <v>89974</v>
      </c>
      <c r="Z116" s="57">
        <v>71615601</v>
      </c>
      <c r="AA116" s="57">
        <v>89974</v>
      </c>
      <c r="AB116" s="57">
        <v>71615601</v>
      </c>
      <c r="AC116" s="47">
        <f>1 - AD116</f>
        <v>0</v>
      </c>
      <c r="AD116" s="47">
        <f>Y116/AA116</f>
        <v>1</v>
      </c>
      <c r="AE116" s="47">
        <f>1 - AF116</f>
        <v>0</v>
      </c>
      <c r="AF116" s="47">
        <f>Z116/AB116</f>
        <v>1</v>
      </c>
    </row>
    <row r="117" spans="1:32" ht="96.6" x14ac:dyDescent="0.3">
      <c r="A117" s="34">
        <v>59</v>
      </c>
      <c r="B117" s="28" t="s">
        <v>200</v>
      </c>
      <c r="C117" s="28" t="s">
        <v>201</v>
      </c>
      <c r="D117" s="28" t="s">
        <v>24</v>
      </c>
      <c r="E117" s="28" t="s">
        <v>170</v>
      </c>
      <c r="F117" s="43" t="s">
        <v>202</v>
      </c>
      <c r="G117" s="44" t="s">
        <v>15</v>
      </c>
      <c r="H117" s="44" t="s">
        <v>15</v>
      </c>
      <c r="I117" s="45" t="str">
        <f>CONCATENATE("SUM(CASE WHEN (MCS.",F117, " IS NULL) THEN 1 ELSE 0 END) AS ",F117,",")</f>
        <v>SUM(CASE WHEN (MCS.CLM_MDCR_PRFNL_BENE_PMT_AMT IS NULL) THEN 1 ELSE 0 END) AS CLM_MDCR_PRFNL_BENE_PMT_AMT,</v>
      </c>
      <c r="J117" s="43" t="s">
        <v>202</v>
      </c>
      <c r="K117" s="46" t="s">
        <v>861</v>
      </c>
      <c r="L117" s="46">
        <v>0</v>
      </c>
      <c r="M117" s="46">
        <v>67126071</v>
      </c>
      <c r="N117" s="47">
        <f xml:space="preserve"> 1 -O117</f>
        <v>1</v>
      </c>
      <c r="O117" s="48">
        <f>L117/M117</f>
        <v>0</v>
      </c>
      <c r="P117" s="43" t="s">
        <v>202</v>
      </c>
      <c r="Q117" s="48"/>
      <c r="R117" s="48"/>
      <c r="S117" s="54"/>
      <c r="T117" s="48"/>
      <c r="U117" s="48"/>
      <c r="V117" s="24" t="s">
        <v>202</v>
      </c>
      <c r="W117" s="57" t="s">
        <v>862</v>
      </c>
      <c r="X117" s="57" t="s">
        <v>862</v>
      </c>
      <c r="Y117" s="57">
        <v>89974</v>
      </c>
      <c r="Z117" s="57">
        <v>71615601</v>
      </c>
      <c r="AA117" s="57">
        <v>89974</v>
      </c>
      <c r="AB117" s="57">
        <v>71615601</v>
      </c>
      <c r="AC117" s="47">
        <f>1 - AD117</f>
        <v>0</v>
      </c>
      <c r="AD117" s="47">
        <f>Y117/AA117</f>
        <v>1</v>
      </c>
      <c r="AE117" s="47">
        <f>1 - AF117</f>
        <v>0</v>
      </c>
      <c r="AF117" s="47">
        <f>Z117/AB117</f>
        <v>1</v>
      </c>
    </row>
    <row r="118" spans="1:32" ht="96.6" x14ac:dyDescent="0.3">
      <c r="A118" s="34">
        <v>58</v>
      </c>
      <c r="B118" s="28" t="s">
        <v>196</v>
      </c>
      <c r="C118" s="28" t="s">
        <v>197</v>
      </c>
      <c r="D118" s="28" t="s">
        <v>24</v>
      </c>
      <c r="E118" s="28" t="s">
        <v>170</v>
      </c>
      <c r="F118" s="43" t="s">
        <v>198</v>
      </c>
      <c r="G118" s="55" t="s">
        <v>15</v>
      </c>
      <c r="H118" s="44" t="s">
        <v>15</v>
      </c>
      <c r="I118" s="45" t="str">
        <f>CONCATENATE("SUM(CASE WHEN (MCS.",F118, " IS NULL) THEN 1 ELSE 0 END) AS ",F118,",")</f>
        <v>SUM(CASE WHEN (MCS.CLM_MDCR_PRFNL_BENE_PD_AMT IS NULL) THEN 1 ELSE 0 END) AS CLM_MDCR_PRFNL_BENE_PD_AMT,</v>
      </c>
      <c r="J118" s="43" t="s">
        <v>198</v>
      </c>
      <c r="K118" s="46" t="s">
        <v>861</v>
      </c>
      <c r="L118" s="46">
        <v>0</v>
      </c>
      <c r="M118" s="46">
        <v>67126071</v>
      </c>
      <c r="N118" s="47">
        <f xml:space="preserve"> 1 -O118</f>
        <v>1</v>
      </c>
      <c r="O118" s="48">
        <f>L118/M118</f>
        <v>0</v>
      </c>
      <c r="P118" s="43" t="s">
        <v>198</v>
      </c>
      <c r="Q118" s="48"/>
      <c r="R118" s="48"/>
      <c r="S118" s="54"/>
      <c r="T118" s="48"/>
      <c r="U118" s="48"/>
      <c r="V118" s="24" t="s">
        <v>198</v>
      </c>
      <c r="W118" s="57" t="s">
        <v>862</v>
      </c>
      <c r="X118" s="57" t="s">
        <v>862</v>
      </c>
      <c r="Y118" s="57">
        <v>89974</v>
      </c>
      <c r="Z118" s="57">
        <v>71615601</v>
      </c>
      <c r="AA118" s="57">
        <v>89974</v>
      </c>
      <c r="AB118" s="57">
        <v>71615601</v>
      </c>
      <c r="AC118" s="47">
        <f>1 - AD118</f>
        <v>0</v>
      </c>
      <c r="AD118" s="47">
        <f>Y118/AA118</f>
        <v>1</v>
      </c>
      <c r="AE118" s="47">
        <f>1 - AF118</f>
        <v>0</v>
      </c>
      <c r="AF118" s="47">
        <f>Z118/AB118</f>
        <v>1</v>
      </c>
    </row>
    <row r="119" spans="1:32" ht="82.8" x14ac:dyDescent="0.3">
      <c r="A119" s="34">
        <v>62</v>
      </c>
      <c r="B119" s="28" t="s">
        <v>210</v>
      </c>
      <c r="C119" s="28" t="s">
        <v>211</v>
      </c>
      <c r="D119" s="28" t="s">
        <v>24</v>
      </c>
      <c r="E119" s="28" t="s">
        <v>31</v>
      </c>
      <c r="F119" s="28" t="s">
        <v>863</v>
      </c>
      <c r="G119" s="44" t="s">
        <v>15</v>
      </c>
      <c r="H119" s="44" t="s">
        <v>15</v>
      </c>
      <c r="I119" s="45" t="str">
        <f>CONCATENATE("SUM(CASE WHEN (",F119, " IS NULL) THEN 1 ELSE 0 END) AS ",F119,",")</f>
        <v>SUM(CASE WHEN (CLM_MDCR_DDCTBL_AMT IS NULL) THEN 1 ELSE 0 END) AS CLM_MDCR_DDCTBL_AMT,</v>
      </c>
      <c r="J119" s="28" t="s">
        <v>863</v>
      </c>
      <c r="K119" s="46" t="s">
        <v>861</v>
      </c>
      <c r="L119" s="46">
        <v>0</v>
      </c>
      <c r="M119" s="46">
        <v>67078797</v>
      </c>
      <c r="N119" s="47">
        <f xml:space="preserve"> 1 -O119</f>
        <v>1</v>
      </c>
      <c r="O119" s="48">
        <f>L119/M119</f>
        <v>0</v>
      </c>
      <c r="P119" s="49" t="s">
        <v>863</v>
      </c>
      <c r="Q119" s="50"/>
      <c r="R119" s="51">
        <v>0</v>
      </c>
      <c r="S119" s="54"/>
      <c r="T119" s="48"/>
      <c r="U119" s="48"/>
      <c r="V119" s="43" t="s">
        <v>863</v>
      </c>
      <c r="W119" s="46" t="s">
        <v>861</v>
      </c>
      <c r="X119" s="46" t="s">
        <v>861</v>
      </c>
      <c r="Y119" s="46">
        <v>0</v>
      </c>
      <c r="Z119" s="46">
        <v>0</v>
      </c>
      <c r="AA119" s="46">
        <v>89974</v>
      </c>
      <c r="AB119" s="46">
        <v>71615601</v>
      </c>
      <c r="AC119" s="47">
        <f>1 - AD119</f>
        <v>1</v>
      </c>
      <c r="AD119" s="47">
        <f>Y119/AA119</f>
        <v>0</v>
      </c>
      <c r="AE119" s="47">
        <f>1 - AF119</f>
        <v>1</v>
      </c>
      <c r="AF119" s="47">
        <f>Z119/AB119</f>
        <v>0</v>
      </c>
    </row>
    <row r="120" spans="1:32" ht="110.4" x14ac:dyDescent="0.3">
      <c r="A120" s="34">
        <v>37</v>
      </c>
      <c r="B120" s="28" t="s">
        <v>123</v>
      </c>
      <c r="C120" s="28" t="s">
        <v>124</v>
      </c>
      <c r="D120" s="28" t="s">
        <v>24</v>
      </c>
      <c r="E120" s="28" t="s">
        <v>25</v>
      </c>
      <c r="F120" s="28" t="s">
        <v>125</v>
      </c>
      <c r="G120" s="44" t="s">
        <v>15</v>
      </c>
      <c r="H120" s="44" t="s">
        <v>15</v>
      </c>
      <c r="I120" s="45" t="str">
        <f>CONCATENATE("SUM(CASE WHEN (MCS.",F120," IN (' ', '~') OR MCS.",F120, " IS NULL) THEN 1 ELSE 0 END) AS ",F120,",")</f>
        <v>SUM(CASE WHEN (MCS.CLM_MDCR_BATCH_NUM IN (' ', '~') OR MCS.CLM_MDCR_BATCH_NUM IS NULL) THEN 1 ELSE 0 END) AS CLM_MDCR_BATCH_NUM,</v>
      </c>
      <c r="J120" s="28" t="s">
        <v>125</v>
      </c>
      <c r="K120" s="46" t="s">
        <v>861</v>
      </c>
      <c r="L120" s="46">
        <v>0</v>
      </c>
      <c r="M120" s="46">
        <v>67078797</v>
      </c>
      <c r="N120" s="47">
        <f xml:space="preserve"> 1 -O120</f>
        <v>1</v>
      </c>
      <c r="O120" s="48">
        <f>L120/M120</f>
        <v>0</v>
      </c>
      <c r="P120" s="28" t="s">
        <v>125</v>
      </c>
      <c r="Q120" s="48"/>
      <c r="R120" s="48"/>
      <c r="S120" s="56">
        <v>67126071</v>
      </c>
      <c r="T120" s="48"/>
      <c r="U120" s="48"/>
      <c r="V120" s="43" t="s">
        <v>102</v>
      </c>
      <c r="W120" s="46" t="s">
        <v>862</v>
      </c>
      <c r="X120" s="46" t="s">
        <v>862</v>
      </c>
      <c r="Y120" s="46">
        <v>89974</v>
      </c>
      <c r="Z120" s="46">
        <v>71615601</v>
      </c>
      <c r="AA120" s="46">
        <v>89974</v>
      </c>
      <c r="AB120" s="46">
        <v>71615601</v>
      </c>
      <c r="AC120" s="47">
        <f>1 - AD120</f>
        <v>0</v>
      </c>
      <c r="AD120" s="47">
        <f>Y120/AA120</f>
        <v>1</v>
      </c>
      <c r="AE120" s="47">
        <f>1 - AF120</f>
        <v>0</v>
      </c>
      <c r="AF120" s="47">
        <f>Z120/AB120</f>
        <v>1</v>
      </c>
    </row>
    <row r="121" spans="1:32" ht="82.8" x14ac:dyDescent="0.3">
      <c r="A121" s="34">
        <v>19</v>
      </c>
      <c r="B121" s="28" t="s">
        <v>67</v>
      </c>
      <c r="C121" s="28" t="s">
        <v>68</v>
      </c>
      <c r="D121" s="28" t="s">
        <v>24</v>
      </c>
      <c r="E121" s="28" t="s">
        <v>25</v>
      </c>
      <c r="F121" s="28" t="s">
        <v>69</v>
      </c>
      <c r="G121" s="44" t="s">
        <v>15</v>
      </c>
      <c r="H121" s="44" t="s">
        <v>15</v>
      </c>
      <c r="I121" s="45" t="str">
        <f>CONCATENATE("SUM(CASE WHEN (MCS.",F121, " IS NULL) THEN 1 ELSE 0 END) AS ",F121,",")</f>
        <v>SUM(CASE WHEN (MCS.CLM_MDCR_ACRTN_NUM IS NULL) THEN 1 ELSE 0 END) AS CLM_MDCR_ACRTN_NUM,</v>
      </c>
      <c r="J121" s="28" t="s">
        <v>69</v>
      </c>
      <c r="K121" s="46" t="s">
        <v>861</v>
      </c>
      <c r="L121" s="46">
        <v>0</v>
      </c>
      <c r="M121" s="46">
        <v>67078797</v>
      </c>
      <c r="N121" s="47">
        <f xml:space="preserve"> 1 -O121</f>
        <v>1</v>
      </c>
      <c r="O121" s="48">
        <f>L121/M121</f>
        <v>0</v>
      </c>
      <c r="P121" s="28" t="s">
        <v>69</v>
      </c>
      <c r="Q121" s="48"/>
      <c r="R121" s="48"/>
      <c r="S121" s="56">
        <v>67126071</v>
      </c>
      <c r="T121" s="48"/>
      <c r="U121" s="48"/>
      <c r="V121" s="43" t="s">
        <v>125</v>
      </c>
      <c r="W121" s="46" t="s">
        <v>862</v>
      </c>
      <c r="X121" s="46" t="s">
        <v>862</v>
      </c>
      <c r="Y121" s="46">
        <v>89974</v>
      </c>
      <c r="Z121" s="46">
        <v>71615601</v>
      </c>
      <c r="AA121" s="46">
        <v>89974</v>
      </c>
      <c r="AB121" s="46">
        <v>71615601</v>
      </c>
      <c r="AC121" s="47">
        <f>1 - AD121</f>
        <v>0</v>
      </c>
      <c r="AD121" s="47">
        <f>Y121/AA121</f>
        <v>1</v>
      </c>
      <c r="AE121" s="47">
        <f>1 - AF121</f>
        <v>0</v>
      </c>
      <c r="AF121" s="47">
        <f>Z121/AB121</f>
        <v>1</v>
      </c>
    </row>
    <row r="122" spans="1:32" ht="96.6" x14ac:dyDescent="0.3">
      <c r="A122" s="34">
        <v>64</v>
      </c>
      <c r="B122" s="28" t="s">
        <v>215</v>
      </c>
      <c r="C122" s="28" t="s">
        <v>216</v>
      </c>
      <c r="D122" s="28" t="s">
        <v>24</v>
      </c>
      <c r="E122" s="28" t="s">
        <v>170</v>
      </c>
      <c r="F122" s="28" t="s">
        <v>217</v>
      </c>
      <c r="G122" s="44" t="s">
        <v>15</v>
      </c>
      <c r="H122" s="44" t="s">
        <v>15</v>
      </c>
      <c r="I122" s="45" t="str">
        <f>CONCATENATE("SUM(CASE WHEN (MCS.",F122," IN (' ', '~') OR MCS.",F122, " IS NULL) THEN 1 ELSE 0 END) AS ",F122,",")</f>
        <v>SUM(CASE WHEN (MCS.CLM_MCO_OVRRD_CD IN (' ', '~') OR MCS.CLM_MCO_OVRRD_CD IS NULL) THEN 1 ELSE 0 END) AS CLM_MCO_OVRRD_CD,</v>
      </c>
      <c r="J122" s="28" t="s">
        <v>217</v>
      </c>
      <c r="K122" s="46" t="s">
        <v>861</v>
      </c>
      <c r="L122" s="46">
        <v>0</v>
      </c>
      <c r="M122" s="46">
        <v>67126071</v>
      </c>
      <c r="N122" s="47">
        <f xml:space="preserve"> 1 -O122</f>
        <v>1</v>
      </c>
      <c r="O122" s="48">
        <f>L122/M122</f>
        <v>0</v>
      </c>
      <c r="P122" s="28" t="s">
        <v>217</v>
      </c>
      <c r="Q122" s="48"/>
      <c r="R122" s="48"/>
      <c r="S122" s="54"/>
      <c r="T122" s="48"/>
      <c r="U122" s="48"/>
      <c r="V122" s="59" t="s">
        <v>217</v>
      </c>
      <c r="W122" s="57" t="s">
        <v>862</v>
      </c>
      <c r="X122" s="57" t="s">
        <v>862</v>
      </c>
      <c r="Y122" s="57">
        <v>89974</v>
      </c>
      <c r="Z122" s="57">
        <v>71615601</v>
      </c>
      <c r="AA122" s="57">
        <v>89974</v>
      </c>
      <c r="AB122" s="57">
        <v>71615601</v>
      </c>
      <c r="AC122" s="47">
        <f>1 - AD122</f>
        <v>0</v>
      </c>
      <c r="AD122" s="47">
        <f>Y122/AA122</f>
        <v>1</v>
      </c>
      <c r="AE122" s="47">
        <f>1 - AF122</f>
        <v>0</v>
      </c>
      <c r="AF122" s="47">
        <f>Z122/AB122</f>
        <v>1</v>
      </c>
    </row>
    <row r="123" spans="1:32" ht="96.6" x14ac:dyDescent="0.3">
      <c r="A123" s="34">
        <v>110</v>
      </c>
      <c r="B123" s="28" t="s">
        <v>359</v>
      </c>
      <c r="C123" s="28" t="s">
        <v>360</v>
      </c>
      <c r="D123" s="28" t="s">
        <v>24</v>
      </c>
      <c r="E123" s="28" t="s">
        <v>25</v>
      </c>
      <c r="F123" s="28" t="s">
        <v>361</v>
      </c>
      <c r="G123" s="28" t="s">
        <v>860</v>
      </c>
      <c r="H123" s="44" t="s">
        <v>15</v>
      </c>
      <c r="I123" s="45" t="str">
        <f>CONCATENATE("SUM(CASE WHEN (MCS.",F123," IN (' ', '~') OR MCS.",F123, " IS NULL) THEN 1 ELSE 0 END) AS ",F123,",")</f>
        <v>SUM(CASE WHEN (MCS.CLM_MCO_OPTN_CD IN (' ', '~') OR MCS.CLM_MCO_OPTN_CD IS NULL) THEN 1 ELSE 0 END) AS CLM_MCO_OPTN_CD,</v>
      </c>
      <c r="J123" s="28" t="s">
        <v>361</v>
      </c>
      <c r="K123" s="46" t="s">
        <v>862</v>
      </c>
      <c r="L123" s="46">
        <v>67078797</v>
      </c>
      <c r="M123" s="46">
        <v>67078797</v>
      </c>
      <c r="N123" s="47">
        <f xml:space="preserve"> 1 -O123</f>
        <v>0</v>
      </c>
      <c r="O123" s="48">
        <f>L123/M123</f>
        <v>1</v>
      </c>
      <c r="P123" s="28" t="s">
        <v>361</v>
      </c>
      <c r="Q123" s="48"/>
      <c r="R123" s="48"/>
      <c r="S123" s="56">
        <v>67126071</v>
      </c>
      <c r="T123" s="48"/>
      <c r="U123" s="48"/>
      <c r="V123" s="43" t="s">
        <v>69</v>
      </c>
      <c r="W123" s="46" t="s">
        <v>862</v>
      </c>
      <c r="X123" s="46" t="s">
        <v>862</v>
      </c>
      <c r="Y123" s="46">
        <v>89974</v>
      </c>
      <c r="Z123" s="46">
        <v>71615601</v>
      </c>
      <c r="AA123" s="46">
        <v>89974</v>
      </c>
      <c r="AB123" s="46">
        <v>71615601</v>
      </c>
      <c r="AC123" s="47">
        <f>1 - AD123</f>
        <v>0</v>
      </c>
      <c r="AD123" s="47">
        <f>Y123/AA123</f>
        <v>1</v>
      </c>
      <c r="AE123" s="47">
        <f>1 - AF123</f>
        <v>0</v>
      </c>
      <c r="AF123" s="47">
        <f>Z123/AB123</f>
        <v>1</v>
      </c>
    </row>
    <row r="124" spans="1:32" ht="138" x14ac:dyDescent="0.3">
      <c r="A124" s="34">
        <v>111</v>
      </c>
      <c r="B124" s="28" t="s">
        <v>364</v>
      </c>
      <c r="C124" s="28" t="s">
        <v>365</v>
      </c>
      <c r="D124" s="28" t="s">
        <v>366</v>
      </c>
      <c r="E124" s="28" t="s">
        <v>25</v>
      </c>
      <c r="F124" s="43" t="s">
        <v>891</v>
      </c>
      <c r="G124" s="28"/>
      <c r="H124" s="44"/>
      <c r="I124" s="45" t="str">
        <f>CONCATENATE("SUM(CASE WHEN (MCS.",F124, " IS NULL) THEN 1 ELSE 0 END) AS ",F124,",")</f>
        <v>SUM(CASE WHEN (MCS.CLM_MCO_2ND_PRD_BGN_DT IS NULL) THEN 1 ELSE 0 END) AS CLM_MCO_2ND_PRD_BGN_DT,</v>
      </c>
      <c r="J124" s="43" t="s">
        <v>891</v>
      </c>
      <c r="K124" s="46" t="s">
        <v>861</v>
      </c>
      <c r="L124" s="46">
        <v>13080995</v>
      </c>
      <c r="M124" s="46">
        <v>67078797</v>
      </c>
      <c r="N124" s="47">
        <f xml:space="preserve"> 1 -O124</f>
        <v>0.8049906142473009</v>
      </c>
      <c r="O124" s="48">
        <f>L124/M124</f>
        <v>0.19500938575269916</v>
      </c>
      <c r="P124" s="43" t="s">
        <v>891</v>
      </c>
      <c r="Q124" s="48"/>
      <c r="R124" s="48"/>
      <c r="S124" s="56">
        <v>67126071</v>
      </c>
      <c r="T124" s="48"/>
      <c r="U124" s="48"/>
      <c r="V124" s="43" t="s">
        <v>361</v>
      </c>
      <c r="W124" s="46" t="s">
        <v>862</v>
      </c>
      <c r="X124" s="46" t="s">
        <v>862</v>
      </c>
      <c r="Y124" s="46">
        <v>89974</v>
      </c>
      <c r="Z124" s="46">
        <v>71615601</v>
      </c>
      <c r="AA124" s="46">
        <v>89974</v>
      </c>
      <c r="AB124" s="46">
        <v>71615601</v>
      </c>
      <c r="AC124" s="47">
        <f>1 - AD124</f>
        <v>0</v>
      </c>
      <c r="AD124" s="47">
        <f>Y124/AA124</f>
        <v>1</v>
      </c>
      <c r="AE124" s="47">
        <f>1 - AF124</f>
        <v>0</v>
      </c>
      <c r="AF124" s="47">
        <f>Z124/AB124</f>
        <v>1</v>
      </c>
    </row>
    <row r="125" spans="1:32" ht="138" x14ac:dyDescent="0.3">
      <c r="A125" s="34">
        <v>110</v>
      </c>
      <c r="B125" s="28" t="s">
        <v>359</v>
      </c>
      <c r="C125" s="28" t="s">
        <v>360</v>
      </c>
      <c r="D125" s="28" t="s">
        <v>362</v>
      </c>
      <c r="E125" s="28" t="s">
        <v>25</v>
      </c>
      <c r="F125" s="43" t="s">
        <v>890</v>
      </c>
      <c r="G125" s="28"/>
      <c r="H125" s="44"/>
      <c r="I125" s="45" t="str">
        <f>CONCATENATE("SUM(CASE WHEN (MCS.",F125," IN (' ', '~') OR MCS.",F125, " IS NULL) THEN 1 ELSE 0 END) AS ",F125,",")</f>
        <v>SUM(CASE WHEN (MCS.CLM_MCO_2ND_OPTN_CD IN (' ', '~') OR MCS.CLM_MCO_2ND_OPTN_CD IS NULL) THEN 1 ELSE 0 END) AS CLM_MCO_2ND_OPTN_CD,</v>
      </c>
      <c r="J125" s="43" t="s">
        <v>890</v>
      </c>
      <c r="K125" s="46" t="s">
        <v>861</v>
      </c>
      <c r="L125" s="46">
        <v>61316212</v>
      </c>
      <c r="M125" s="46">
        <v>67078797</v>
      </c>
      <c r="N125" s="47">
        <f xml:space="preserve"> 1 -O125</f>
        <v>8.5907697480024914E-2</v>
      </c>
      <c r="O125" s="48">
        <f>L125/M125</f>
        <v>0.91409230251997509</v>
      </c>
      <c r="P125" s="43" t="s">
        <v>890</v>
      </c>
      <c r="Q125" s="48"/>
      <c r="R125" s="48"/>
      <c r="S125" s="56">
        <v>67126071</v>
      </c>
      <c r="T125" s="48"/>
      <c r="U125" s="48"/>
      <c r="V125" s="43" t="s">
        <v>891</v>
      </c>
      <c r="W125" s="46" t="s">
        <v>862</v>
      </c>
      <c r="X125" s="46" t="s">
        <v>862</v>
      </c>
      <c r="Y125" s="46">
        <v>89974</v>
      </c>
      <c r="Z125" s="46">
        <v>71615601</v>
      </c>
      <c r="AA125" s="46">
        <v>89974</v>
      </c>
      <c r="AB125" s="46">
        <v>71615601</v>
      </c>
      <c r="AC125" s="47">
        <f>1 - AD125</f>
        <v>0</v>
      </c>
      <c r="AD125" s="47">
        <f>Y125/AA125</f>
        <v>1</v>
      </c>
      <c r="AE125" s="47">
        <f>1 - AF125</f>
        <v>0</v>
      </c>
      <c r="AF125" s="47">
        <f>Z125/AB125</f>
        <v>1</v>
      </c>
    </row>
    <row r="126" spans="1:32" ht="138" x14ac:dyDescent="0.3">
      <c r="A126" s="34">
        <v>113</v>
      </c>
      <c r="B126" s="28" t="s">
        <v>372</v>
      </c>
      <c r="C126" s="28" t="s">
        <v>373</v>
      </c>
      <c r="D126" s="28" t="s">
        <v>374</v>
      </c>
      <c r="E126" s="28" t="s">
        <v>25</v>
      </c>
      <c r="F126" s="43" t="s">
        <v>889</v>
      </c>
      <c r="G126" s="28" t="s">
        <v>860</v>
      </c>
      <c r="H126" s="44" t="s">
        <v>15</v>
      </c>
      <c r="I126" s="45" t="str">
        <f>CONCATENATE("SUM(CASE WHEN (MCS.",F126," IN (' ', '~') OR MCS.",F126, " IS NULL) THEN 1 ELSE 0 END) AS ",F126,",")</f>
        <v>SUM(CASE WHEN (MCS.CLM_MCO_2ND_HLTH_PLAN_ID IN (' ', '~') OR MCS.CLM_MCO_2ND_HLTH_PLAN_ID IS NULL) THEN 1 ELSE 0 END) AS CLM_MCO_2ND_HLTH_PLAN_ID,</v>
      </c>
      <c r="J126" s="43" t="s">
        <v>889</v>
      </c>
      <c r="K126" s="46" t="s">
        <v>862</v>
      </c>
      <c r="L126" s="46">
        <v>67078797</v>
      </c>
      <c r="M126" s="46">
        <v>67078797</v>
      </c>
      <c r="N126" s="47">
        <f xml:space="preserve"> 1 -O126</f>
        <v>0</v>
      </c>
      <c r="O126" s="48">
        <f>L126/M126</f>
        <v>1</v>
      </c>
      <c r="P126" s="43" t="s">
        <v>889</v>
      </c>
      <c r="Q126" s="48"/>
      <c r="R126" s="48"/>
      <c r="S126" s="56">
        <v>67126071</v>
      </c>
      <c r="T126" s="48"/>
      <c r="U126" s="48"/>
      <c r="V126" s="43" t="s">
        <v>890</v>
      </c>
      <c r="W126" s="46" t="s">
        <v>862</v>
      </c>
      <c r="X126" s="46" t="s">
        <v>862</v>
      </c>
      <c r="Y126" s="46">
        <v>89974</v>
      </c>
      <c r="Z126" s="46">
        <v>71615601</v>
      </c>
      <c r="AA126" s="46">
        <v>89974</v>
      </c>
      <c r="AB126" s="46">
        <v>71615601</v>
      </c>
      <c r="AC126" s="47">
        <f>1 - AD126</f>
        <v>0</v>
      </c>
      <c r="AD126" s="47">
        <f>Y126/AA126</f>
        <v>1</v>
      </c>
      <c r="AE126" s="47">
        <f>1 - AF126</f>
        <v>0</v>
      </c>
      <c r="AF126" s="47">
        <f>Z126/AB126</f>
        <v>1</v>
      </c>
    </row>
    <row r="127" spans="1:32" ht="151.80000000000001" x14ac:dyDescent="0.3">
      <c r="A127" s="34">
        <v>109</v>
      </c>
      <c r="B127" s="28" t="s">
        <v>355</v>
      </c>
      <c r="C127" s="28" t="s">
        <v>356</v>
      </c>
      <c r="D127" s="28" t="s">
        <v>357</v>
      </c>
      <c r="E127" s="28" t="s">
        <v>25</v>
      </c>
      <c r="F127" s="43" t="s">
        <v>888</v>
      </c>
      <c r="G127" s="28"/>
      <c r="H127" s="44"/>
      <c r="I127" s="45" t="str">
        <f>CONCATENATE("SUM(CASE WHEN (MCS.",F127," IN (' ', '~') OR MCS.",F127, " IS NULL) THEN 1 ELSE 0 END) AS ",F127,",")</f>
        <v>SUM(CASE WHEN (MCS.CLM_MCO_2ND_CNTRCT_NUM IN (' ', '~') OR MCS.CLM_MCO_2ND_CNTRCT_NUM IS NULL) THEN 1 ELSE 0 END) AS CLM_MCO_2ND_CNTRCT_NUM,</v>
      </c>
      <c r="J127" s="43" t="s">
        <v>888</v>
      </c>
      <c r="K127" s="46" t="s">
        <v>861</v>
      </c>
      <c r="L127" s="46">
        <v>61316212</v>
      </c>
      <c r="M127" s="46">
        <v>67078797</v>
      </c>
      <c r="N127" s="47">
        <f xml:space="preserve"> 1 -O127</f>
        <v>8.5907697480024914E-2</v>
      </c>
      <c r="O127" s="48">
        <f>L127/M127</f>
        <v>0.91409230251997509</v>
      </c>
      <c r="P127" s="43" t="s">
        <v>888</v>
      </c>
      <c r="Q127" s="48"/>
      <c r="R127" s="48"/>
      <c r="S127" s="56">
        <v>67126071</v>
      </c>
      <c r="T127" s="48"/>
      <c r="U127" s="48"/>
      <c r="V127" s="43" t="s">
        <v>889</v>
      </c>
      <c r="W127" s="46" t="s">
        <v>862</v>
      </c>
      <c r="X127" s="46" t="s">
        <v>862</v>
      </c>
      <c r="Y127" s="46">
        <v>89974</v>
      </c>
      <c r="Z127" s="46">
        <v>71615601</v>
      </c>
      <c r="AA127" s="46">
        <v>89974</v>
      </c>
      <c r="AB127" s="46">
        <v>71615601</v>
      </c>
      <c r="AC127" s="47">
        <f>1 - AD127</f>
        <v>0</v>
      </c>
      <c r="AD127" s="47">
        <f>Y127/AA127</f>
        <v>1</v>
      </c>
      <c r="AE127" s="47">
        <f>1 - AF127</f>
        <v>0</v>
      </c>
      <c r="AF127" s="47">
        <f>Z127/AB127</f>
        <v>1</v>
      </c>
    </row>
    <row r="128" spans="1:32" ht="138" x14ac:dyDescent="0.3">
      <c r="A128" s="34">
        <v>112</v>
      </c>
      <c r="B128" s="28" t="s">
        <v>368</v>
      </c>
      <c r="C128" s="28" t="s">
        <v>369</v>
      </c>
      <c r="D128" s="28" t="s">
        <v>370</v>
      </c>
      <c r="E128" s="28" t="s">
        <v>25</v>
      </c>
      <c r="F128" s="43" t="s">
        <v>887</v>
      </c>
      <c r="G128" s="28" t="s">
        <v>860</v>
      </c>
      <c r="H128" s="44" t="s">
        <v>15</v>
      </c>
      <c r="I128" s="45" t="str">
        <f>CONCATENATE("SUM(CASE WHEN (MCS.",F128, " IS NULL) THEN 1 ELSE 0 END) AS ",F128,",")</f>
        <v>SUM(CASE WHEN (MCS.CLM_MCO_1ST_PRD_END_DT  IS NULL) THEN 1 ELSE 0 END) AS CLM_MCO_1ST_PRD_END_DT ,</v>
      </c>
      <c r="J128" s="43" t="s">
        <v>887</v>
      </c>
      <c r="K128" s="46" t="s">
        <v>861</v>
      </c>
      <c r="L128" s="46">
        <v>0</v>
      </c>
      <c r="M128" s="46">
        <v>67078797</v>
      </c>
      <c r="N128" s="47">
        <f xml:space="preserve"> 1 -O128</f>
        <v>1</v>
      </c>
      <c r="O128" s="48">
        <f>L128/M128</f>
        <v>0</v>
      </c>
      <c r="P128" s="43" t="s">
        <v>887</v>
      </c>
      <c r="Q128" s="48"/>
      <c r="R128" s="48"/>
      <c r="S128" s="56">
        <v>67126071</v>
      </c>
      <c r="T128" s="48"/>
      <c r="U128" s="48"/>
      <c r="V128" s="43" t="s">
        <v>888</v>
      </c>
      <c r="W128" s="46" t="s">
        <v>862</v>
      </c>
      <c r="X128" s="46" t="s">
        <v>862</v>
      </c>
      <c r="Y128" s="46">
        <v>89974</v>
      </c>
      <c r="Z128" s="46">
        <v>71615601</v>
      </c>
      <c r="AA128" s="46">
        <v>89974</v>
      </c>
      <c r="AB128" s="46">
        <v>71615601</v>
      </c>
      <c r="AC128" s="47">
        <f>1 - AD128</f>
        <v>0</v>
      </c>
      <c r="AD128" s="47">
        <f>Y128/AA128</f>
        <v>1</v>
      </c>
      <c r="AE128" s="47">
        <f>1 - AF128</f>
        <v>0</v>
      </c>
      <c r="AF128" s="47">
        <f>Z128/AB128</f>
        <v>1</v>
      </c>
    </row>
    <row r="129" spans="1:32" ht="138" x14ac:dyDescent="0.3">
      <c r="A129" s="34">
        <v>111</v>
      </c>
      <c r="B129" s="28" t="s">
        <v>364</v>
      </c>
      <c r="C129" s="28" t="s">
        <v>365</v>
      </c>
      <c r="D129" s="28" t="s">
        <v>366</v>
      </c>
      <c r="E129" s="28" t="s">
        <v>25</v>
      </c>
      <c r="F129" s="43" t="s">
        <v>884</v>
      </c>
      <c r="G129" s="28" t="s">
        <v>860</v>
      </c>
      <c r="H129" s="44" t="s">
        <v>15</v>
      </c>
      <c r="I129" s="45" t="str">
        <f>CONCATENATE("SUM(CASE WHEN (MCS.",F129, " IS NULL) THEN 1 ELSE 0 END) AS ",F129,",")</f>
        <v>SUM(CASE WHEN (MCS.CLM_MCO_1ST_PRD_BGN_DT  IS NULL) THEN 1 ELSE 0 END) AS CLM_MCO_1ST_PRD_BGN_DT ,</v>
      </c>
      <c r="J129" s="43" t="s">
        <v>884</v>
      </c>
      <c r="K129" s="46" t="s">
        <v>861</v>
      </c>
      <c r="L129" s="46">
        <v>0</v>
      </c>
      <c r="M129" s="46">
        <v>67078797</v>
      </c>
      <c r="N129" s="47">
        <f xml:space="preserve"> 1 -O129</f>
        <v>1</v>
      </c>
      <c r="O129" s="48">
        <f>L129/M129</f>
        <v>0</v>
      </c>
      <c r="P129" s="43" t="s">
        <v>884</v>
      </c>
      <c r="Q129" s="48"/>
      <c r="R129" s="48"/>
      <c r="S129" s="56">
        <v>67126071</v>
      </c>
      <c r="T129" s="48"/>
      <c r="U129" s="48"/>
      <c r="V129" s="43" t="s">
        <v>886</v>
      </c>
      <c r="W129" s="46" t="s">
        <v>862</v>
      </c>
      <c r="X129" s="46" t="s">
        <v>862</v>
      </c>
      <c r="Y129" s="46">
        <v>89974</v>
      </c>
      <c r="Z129" s="46">
        <v>71615601</v>
      </c>
      <c r="AA129" s="46">
        <v>89974</v>
      </c>
      <c r="AB129" s="46">
        <v>71615601</v>
      </c>
      <c r="AC129" s="47">
        <f>1 - AD129</f>
        <v>0</v>
      </c>
      <c r="AD129" s="47">
        <f>Y129/AA129</f>
        <v>1</v>
      </c>
      <c r="AE129" s="47">
        <f>1 - AF129</f>
        <v>0</v>
      </c>
      <c r="AF129" s="47">
        <f>Z129/AB129</f>
        <v>1</v>
      </c>
    </row>
    <row r="130" spans="1:32" ht="138" x14ac:dyDescent="0.3">
      <c r="A130" s="34">
        <v>110</v>
      </c>
      <c r="B130" s="28" t="s">
        <v>359</v>
      </c>
      <c r="C130" s="28" t="s">
        <v>360</v>
      </c>
      <c r="D130" s="28" t="s">
        <v>362</v>
      </c>
      <c r="E130" s="28" t="s">
        <v>25</v>
      </c>
      <c r="F130" s="43" t="s">
        <v>883</v>
      </c>
      <c r="G130" s="28" t="s">
        <v>860</v>
      </c>
      <c r="H130" s="44" t="s">
        <v>15</v>
      </c>
      <c r="I130" s="45" t="str">
        <f>CONCATENATE("SUM(CASE WHEN (MCS.",F130," IN (' ', '~') OR MCS.",F130, " IS NULL) THEN 1 ELSE 0 END) AS ",F130,",")</f>
        <v>SUM(CASE WHEN (MCS.CLM_MCO_1ST_OPTN_CD IN (' ', '~') OR MCS.CLM_MCO_1ST_OPTN_CD IS NULL) THEN 1 ELSE 0 END) AS CLM_MCO_1ST_OPTN_CD,</v>
      </c>
      <c r="J130" s="43" t="s">
        <v>883</v>
      </c>
      <c r="K130" s="46" t="s">
        <v>861</v>
      </c>
      <c r="L130" s="46">
        <v>55623422</v>
      </c>
      <c r="M130" s="46">
        <v>67078797</v>
      </c>
      <c r="N130" s="47">
        <f xml:space="preserve"> 1 -O130</f>
        <v>0.17077490223922764</v>
      </c>
      <c r="O130" s="48">
        <f>L130/M130</f>
        <v>0.82922509776077236</v>
      </c>
      <c r="P130" s="43" t="s">
        <v>883</v>
      </c>
      <c r="Q130" s="48"/>
      <c r="R130" s="48"/>
      <c r="S130" s="54"/>
      <c r="T130" s="48"/>
      <c r="U130" s="48"/>
      <c r="V130" s="43" t="s">
        <v>883</v>
      </c>
      <c r="W130" s="46" t="s">
        <v>862</v>
      </c>
      <c r="X130" s="46" t="s">
        <v>862</v>
      </c>
      <c r="Y130" s="46">
        <v>89974</v>
      </c>
      <c r="Z130" s="46">
        <v>71615601</v>
      </c>
      <c r="AA130" s="46">
        <v>89974</v>
      </c>
      <c r="AB130" s="46">
        <v>71615601</v>
      </c>
      <c r="AC130" s="47">
        <f>1 - AD130</f>
        <v>0</v>
      </c>
      <c r="AD130" s="47">
        <f>Y130/AA130</f>
        <v>1</v>
      </c>
      <c r="AE130" s="47">
        <f>1 - AF130</f>
        <v>0</v>
      </c>
      <c r="AF130" s="47">
        <f>Z130/AB130</f>
        <v>1</v>
      </c>
    </row>
    <row r="131" spans="1:32" ht="138" x14ac:dyDescent="0.3">
      <c r="A131" s="34">
        <v>113</v>
      </c>
      <c r="B131" s="28" t="s">
        <v>372</v>
      </c>
      <c r="C131" s="28" t="s">
        <v>373</v>
      </c>
      <c r="D131" s="28" t="s">
        <v>374</v>
      </c>
      <c r="E131" s="28" t="s">
        <v>25</v>
      </c>
      <c r="F131" s="43" t="s">
        <v>882</v>
      </c>
      <c r="G131" s="28"/>
      <c r="H131" s="44"/>
      <c r="I131" s="45" t="str">
        <f>CONCATENATE("SUM(CASE WHEN (MCS.",F131," IN (' ', '~') OR MCS.",F131, " IS NULL) THEN 1 ELSE 0 END) AS ",F131,",")</f>
        <v>SUM(CASE WHEN (MCS.CLM_MCO_1ST_HLTH_PLAN_ID IN (' ', '~') OR MCS.CLM_MCO_1ST_HLTH_PLAN_ID IS NULL) THEN 1 ELSE 0 END) AS CLM_MCO_1ST_HLTH_PLAN_ID,</v>
      </c>
      <c r="J131" s="43" t="s">
        <v>882</v>
      </c>
      <c r="K131" s="46" t="s">
        <v>862</v>
      </c>
      <c r="L131" s="46">
        <v>67078797</v>
      </c>
      <c r="M131" s="46">
        <v>67078797</v>
      </c>
      <c r="N131" s="47">
        <f xml:space="preserve"> 1 -O131</f>
        <v>0</v>
      </c>
      <c r="O131" s="48">
        <f>L131/M131</f>
        <v>1</v>
      </c>
      <c r="P131" s="43" t="s">
        <v>882</v>
      </c>
      <c r="Q131" s="48"/>
      <c r="R131" s="48"/>
      <c r="S131" s="54"/>
      <c r="T131" s="48"/>
      <c r="U131" s="48"/>
      <c r="V131" s="43" t="s">
        <v>882</v>
      </c>
      <c r="W131" s="46" t="s">
        <v>862</v>
      </c>
      <c r="X131" s="46" t="s">
        <v>862</v>
      </c>
      <c r="Y131" s="46">
        <v>89974</v>
      </c>
      <c r="Z131" s="46">
        <v>71615601</v>
      </c>
      <c r="AA131" s="46">
        <v>89974</v>
      </c>
      <c r="AB131" s="46">
        <v>71615601</v>
      </c>
      <c r="AC131" s="47">
        <f>1 - AD131</f>
        <v>0</v>
      </c>
      <c r="AD131" s="47">
        <f>Y131/AA131</f>
        <v>1</v>
      </c>
      <c r="AE131" s="47">
        <f>1 - AF131</f>
        <v>0</v>
      </c>
      <c r="AF131" s="47">
        <f>Z131/AB131</f>
        <v>1</v>
      </c>
    </row>
    <row r="132" spans="1:32" ht="151.80000000000001" x14ac:dyDescent="0.3">
      <c r="A132" s="34">
        <v>109</v>
      </c>
      <c r="B132" s="28" t="s">
        <v>355</v>
      </c>
      <c r="C132" s="28" t="s">
        <v>356</v>
      </c>
      <c r="D132" s="28" t="s">
        <v>357</v>
      </c>
      <c r="E132" s="28" t="s">
        <v>25</v>
      </c>
      <c r="F132" s="43" t="s">
        <v>881</v>
      </c>
      <c r="G132" s="28" t="s">
        <v>860</v>
      </c>
      <c r="H132" s="44" t="s">
        <v>15</v>
      </c>
      <c r="I132" s="45" t="str">
        <f>CONCATENATE("SUM(CASE WHEN (MCS.",F132," IN (' ', '~') OR MCS.",F132, " IS NULL) THEN 1 ELSE 0 END) AS ",F132,",")</f>
        <v>SUM(CASE WHEN (MCS.CLM_MCO_1ST_CNTRCT_NUM IN (' ', '~') OR MCS.CLM_MCO_1ST_CNTRCT_NUM IS NULL) THEN 1 ELSE 0 END) AS CLM_MCO_1ST_CNTRCT_NUM,</v>
      </c>
      <c r="J132" s="43" t="s">
        <v>881</v>
      </c>
      <c r="K132" s="46" t="s">
        <v>861</v>
      </c>
      <c r="L132" s="46">
        <v>55623422</v>
      </c>
      <c r="M132" s="46">
        <v>67078797</v>
      </c>
      <c r="N132" s="47">
        <f xml:space="preserve"> 1 -O132</f>
        <v>0.17077490223922764</v>
      </c>
      <c r="O132" s="48">
        <f>L132/M132</f>
        <v>0.82922509776077236</v>
      </c>
      <c r="P132" s="43" t="s">
        <v>881</v>
      </c>
      <c r="Q132" s="48"/>
      <c r="R132" s="48"/>
      <c r="S132" s="54"/>
      <c r="T132" s="48"/>
      <c r="U132" s="48"/>
      <c r="V132" s="43" t="s">
        <v>881</v>
      </c>
      <c r="W132" s="46" t="s">
        <v>862</v>
      </c>
      <c r="X132" s="46" t="s">
        <v>862</v>
      </c>
      <c r="Y132" s="46">
        <v>89974</v>
      </c>
      <c r="Z132" s="46">
        <v>71615601</v>
      </c>
      <c r="AA132" s="46">
        <v>89974</v>
      </c>
      <c r="AB132" s="46">
        <v>71615601</v>
      </c>
      <c r="AC132" s="47">
        <f>1 - AD132</f>
        <v>0</v>
      </c>
      <c r="AD132" s="47">
        <f>Y132/AA132</f>
        <v>1</v>
      </c>
      <c r="AE132" s="47">
        <f>1 - AF132</f>
        <v>0</v>
      </c>
      <c r="AF132" s="47">
        <f>Z132/AB132</f>
        <v>1</v>
      </c>
    </row>
    <row r="133" spans="1:32" ht="124.2" x14ac:dyDescent="0.3">
      <c r="A133" s="34">
        <v>79</v>
      </c>
      <c r="B133" s="43" t="s">
        <v>252</v>
      </c>
      <c r="C133" s="28" t="s">
        <v>253</v>
      </c>
      <c r="D133" s="28" t="s">
        <v>24</v>
      </c>
      <c r="E133" s="28" t="s">
        <v>25</v>
      </c>
      <c r="F133" s="28" t="s">
        <v>254</v>
      </c>
      <c r="G133" s="28" t="s">
        <v>860</v>
      </c>
      <c r="H133" s="28" t="s">
        <v>245</v>
      </c>
      <c r="I133" s="45" t="str">
        <f>CONCATENATE("SUM(CASE WHEN (MCS.",F133," IN (' ', '~') OR MCS.",F133, " IS NULL) THEN 1 ELSE 0 END) AS ",F133,",")</f>
        <v>SUM(CASE WHEN (MCS.CLM_MASS_ADJSTMT_TYPE_CD IN (' ', '~') OR MCS.CLM_MASS_ADJSTMT_TYPE_CD IS NULL) THEN 1 ELSE 0 END) AS CLM_MASS_ADJSTMT_TYPE_CD,</v>
      </c>
      <c r="J133" s="28" t="s">
        <v>254</v>
      </c>
      <c r="K133" s="46" t="s">
        <v>861</v>
      </c>
      <c r="L133" s="46">
        <v>0</v>
      </c>
      <c r="M133" s="46">
        <v>67078797</v>
      </c>
      <c r="N133" s="47">
        <f xml:space="preserve"> 1 -O133</f>
        <v>1</v>
      </c>
      <c r="O133" s="48">
        <f>L133/M133</f>
        <v>0</v>
      </c>
      <c r="P133" s="28" t="s">
        <v>254</v>
      </c>
      <c r="Q133" s="48"/>
      <c r="R133" s="48"/>
      <c r="S133" s="54"/>
      <c r="T133" s="48"/>
      <c r="U133" s="48"/>
      <c r="V133" s="43" t="s">
        <v>254</v>
      </c>
      <c r="W133" s="46" t="s">
        <v>861</v>
      </c>
      <c r="X133" s="46" t="s">
        <v>861</v>
      </c>
      <c r="Y133" s="46">
        <v>0</v>
      </c>
      <c r="Z133" s="46">
        <v>0</v>
      </c>
      <c r="AA133" s="46">
        <v>89974</v>
      </c>
      <c r="AB133" s="46">
        <v>71615601</v>
      </c>
      <c r="AC133" s="47">
        <f>1 - AD133</f>
        <v>1</v>
      </c>
      <c r="AD133" s="47">
        <f>Y133/AA133</f>
        <v>0</v>
      </c>
      <c r="AE133" s="47">
        <f>1 - AF133</f>
        <v>1</v>
      </c>
      <c r="AF133" s="47">
        <f>Z133/AB133</f>
        <v>0</v>
      </c>
    </row>
    <row r="134" spans="1:32" ht="96.6" x14ac:dyDescent="0.3">
      <c r="A134" s="34">
        <v>243</v>
      </c>
      <c r="B134" s="43" t="s">
        <v>252</v>
      </c>
      <c r="C134" s="28" t="s">
        <v>803</v>
      </c>
      <c r="D134" s="28" t="s">
        <v>811</v>
      </c>
      <c r="E134" s="28" t="s">
        <v>31</v>
      </c>
      <c r="F134" s="28" t="s">
        <v>812</v>
      </c>
      <c r="G134" s="28" t="s">
        <v>813</v>
      </c>
      <c r="H134" s="44" t="s">
        <v>15</v>
      </c>
      <c r="I134" s="45" t="str">
        <f>CONCATENATE("SUM(CASE WHEN (",F134, " IS NULL) THEN 1 ELSE 0 END) AS ",F134,",")</f>
        <v>SUM(CASE WHEN (CLM_MASS_ADJSTMT_IND IS NULL) THEN 1 ELSE 0 END) AS CLM_MASS_ADJSTMT_IND,</v>
      </c>
      <c r="J134" s="28" t="s">
        <v>812</v>
      </c>
      <c r="K134" s="46" t="s">
        <v>861</v>
      </c>
      <c r="L134" s="46">
        <v>0</v>
      </c>
      <c r="M134" s="46">
        <v>67078797</v>
      </c>
      <c r="N134" s="47">
        <f xml:space="preserve"> 1 -O134</f>
        <v>1</v>
      </c>
      <c r="O134" s="48">
        <f>L134/M134</f>
        <v>0</v>
      </c>
      <c r="P134" s="49" t="s">
        <v>812</v>
      </c>
      <c r="Q134" s="50"/>
      <c r="R134" s="51">
        <v>0</v>
      </c>
      <c r="S134" s="54"/>
      <c r="T134" s="48"/>
      <c r="U134" s="48"/>
      <c r="V134" s="43" t="s">
        <v>812</v>
      </c>
      <c r="W134" s="46" t="s">
        <v>861</v>
      </c>
      <c r="X134" s="46" t="s">
        <v>861</v>
      </c>
      <c r="Y134" s="46">
        <v>0</v>
      </c>
      <c r="Z134" s="46">
        <v>0</v>
      </c>
      <c r="AA134" s="46">
        <v>89974</v>
      </c>
      <c r="AB134" s="46">
        <v>71615601</v>
      </c>
      <c r="AC134" s="47">
        <f>1 - AD134</f>
        <v>1</v>
      </c>
      <c r="AD134" s="47">
        <f>Y134/AA134</f>
        <v>0</v>
      </c>
      <c r="AE134" s="47">
        <f>1 - AF134</f>
        <v>1</v>
      </c>
      <c r="AF134" s="47">
        <f>Z134/AB134</f>
        <v>0</v>
      </c>
    </row>
    <row r="135" spans="1:32" ht="69" x14ac:dyDescent="0.3">
      <c r="A135" s="34">
        <v>142</v>
      </c>
      <c r="B135" s="28" t="s">
        <v>465</v>
      </c>
      <c r="C135" s="28" t="s">
        <v>466</v>
      </c>
      <c r="D135" s="28" t="s">
        <v>24</v>
      </c>
      <c r="E135" s="28" t="s">
        <v>57</v>
      </c>
      <c r="F135" s="28" t="s">
        <v>467</v>
      </c>
      <c r="G135" s="44" t="s">
        <v>15</v>
      </c>
      <c r="H135" s="44" t="s">
        <v>15</v>
      </c>
      <c r="I135" s="45" t="str">
        <f>CONCATENATE("SUM(CASE WHEN (MCS.",F135, " IS NULL) THEN 1 ELSE 0 END) AS ",F135,",")</f>
        <v>SUM(CASE WHEN (MCS.CLM_LINE_THRU_DT IS NULL) THEN 1 ELSE 0 END) AS CLM_LINE_THRU_DT,</v>
      </c>
      <c r="J135" s="28" t="s">
        <v>467</v>
      </c>
      <c r="K135" s="46" t="s">
        <v>861</v>
      </c>
      <c r="L135" s="46">
        <v>0</v>
      </c>
      <c r="M135" s="46">
        <v>135351338</v>
      </c>
      <c r="N135" s="47">
        <f xml:space="preserve"> 1 -O135</f>
        <v>1</v>
      </c>
      <c r="O135" s="48">
        <f>L135/M135</f>
        <v>0</v>
      </c>
      <c r="P135" s="28" t="s">
        <v>467</v>
      </c>
      <c r="Q135" s="48"/>
      <c r="R135" s="48"/>
      <c r="S135" s="54"/>
      <c r="T135" s="48"/>
      <c r="U135" s="48"/>
      <c r="V135" s="43" t="s">
        <v>467</v>
      </c>
      <c r="W135" s="46" t="s">
        <v>861</v>
      </c>
      <c r="X135" s="46" t="s">
        <v>861</v>
      </c>
      <c r="Y135" s="46">
        <v>0</v>
      </c>
      <c r="Z135" s="46">
        <v>0</v>
      </c>
      <c r="AA135" s="46">
        <v>191518</v>
      </c>
      <c r="AB135" s="46">
        <v>146028028</v>
      </c>
      <c r="AC135" s="47">
        <f>1 - AD135</f>
        <v>1</v>
      </c>
      <c r="AD135" s="47">
        <f>Y135/AA135</f>
        <v>0</v>
      </c>
      <c r="AE135" s="47">
        <f>1 - AF135</f>
        <v>1</v>
      </c>
      <c r="AF135" s="47">
        <f>Z135/AB135</f>
        <v>0</v>
      </c>
    </row>
    <row r="136" spans="1:32" ht="124.2" x14ac:dyDescent="0.3">
      <c r="A136" s="34">
        <v>219</v>
      </c>
      <c r="B136" s="28" t="s">
        <v>708</v>
      </c>
      <c r="C136" s="28" t="s">
        <v>709</v>
      </c>
      <c r="D136" s="28" t="s">
        <v>24</v>
      </c>
      <c r="E136" s="28" t="s">
        <v>697</v>
      </c>
      <c r="F136" s="28" t="s">
        <v>710</v>
      </c>
      <c r="G136" s="28" t="s">
        <v>860</v>
      </c>
      <c r="H136" s="28" t="s">
        <v>245</v>
      </c>
      <c r="I136" s="45" t="str">
        <f>CONCATENATE("SUM(CASE WHEN (MCS.",F136," IN (' ', '~') OR MCS.",F136, " IS NULL) THEN 1 ELSE 0 END) AS ",F136,",")</f>
        <v>SUM(CASE WHEN (MCS.CLM_LINE_THRPY_CAP_IND_5_CD IN (' ', '~') OR MCS.CLM_LINE_THRPY_CAP_IND_5_CD IS NULL) THEN 1 ELSE 0 END) AS CLM_LINE_THRPY_CAP_IND_5_CD,</v>
      </c>
      <c r="J136" s="28" t="s">
        <v>710</v>
      </c>
      <c r="K136" s="46" t="s">
        <v>861</v>
      </c>
      <c r="L136" s="46">
        <v>0</v>
      </c>
      <c r="M136" s="57">
        <v>135449900</v>
      </c>
      <c r="N136" s="47">
        <f xml:space="preserve"> 1 -O136</f>
        <v>1</v>
      </c>
      <c r="O136" s="48">
        <f>L136/M136</f>
        <v>0</v>
      </c>
      <c r="P136" s="28" t="s">
        <v>710</v>
      </c>
      <c r="Q136" s="48"/>
      <c r="R136" s="48"/>
      <c r="S136" s="54"/>
      <c r="T136" s="48"/>
      <c r="U136" s="48"/>
      <c r="V136" s="43" t="s">
        <v>710</v>
      </c>
      <c r="W136" s="46" t="s">
        <v>861</v>
      </c>
      <c r="X136" s="46" t="s">
        <v>861</v>
      </c>
      <c r="Y136" s="46">
        <v>0</v>
      </c>
      <c r="Z136" s="46">
        <v>2</v>
      </c>
      <c r="AA136" s="46">
        <v>191517</v>
      </c>
      <c r="AB136" s="46">
        <v>146028020</v>
      </c>
      <c r="AC136" s="47">
        <f>1 - AD136</f>
        <v>1</v>
      </c>
      <c r="AD136" s="47">
        <f>Y136/AA136</f>
        <v>0</v>
      </c>
      <c r="AE136" s="47">
        <f>1 - AF136</f>
        <v>0.99999998630399833</v>
      </c>
      <c r="AF136" s="47">
        <f>Z136/AB136</f>
        <v>1.3696001630372033E-8</v>
      </c>
    </row>
    <row r="137" spans="1:32" ht="124.2" x14ac:dyDescent="0.3">
      <c r="A137" s="34">
        <v>218</v>
      </c>
      <c r="B137" s="28" t="s">
        <v>705</v>
      </c>
      <c r="C137" s="28" t="s">
        <v>706</v>
      </c>
      <c r="D137" s="28" t="s">
        <v>24</v>
      </c>
      <c r="E137" s="28" t="s">
        <v>697</v>
      </c>
      <c r="F137" s="28" t="s">
        <v>707</v>
      </c>
      <c r="G137" s="28" t="s">
        <v>860</v>
      </c>
      <c r="H137" s="28" t="s">
        <v>245</v>
      </c>
      <c r="I137" s="45" t="str">
        <f>CONCATENATE("SUM(CASE WHEN (MCS.",F137," IN (' ', '~') OR MCS.",F137, " IS NULL) THEN 1 ELSE 0 END) AS ",F137,",")</f>
        <v>SUM(CASE WHEN (MCS.CLM_LINE_THRPY_CAP_IND_4_CD IN (' ', '~') OR MCS.CLM_LINE_THRPY_CAP_IND_4_CD IS NULL) THEN 1 ELSE 0 END) AS CLM_LINE_THRPY_CAP_IND_4_CD,</v>
      </c>
      <c r="J137" s="28" t="s">
        <v>707</v>
      </c>
      <c r="K137" s="46" t="s">
        <v>861</v>
      </c>
      <c r="L137" s="46">
        <v>0</v>
      </c>
      <c r="M137" s="57">
        <v>135449900</v>
      </c>
      <c r="N137" s="47">
        <f xml:space="preserve"> 1 -O137</f>
        <v>1</v>
      </c>
      <c r="O137" s="48">
        <f>L137/M137</f>
        <v>0</v>
      </c>
      <c r="P137" s="28" t="s">
        <v>707</v>
      </c>
      <c r="Q137" s="48"/>
      <c r="R137" s="48"/>
      <c r="S137" s="54"/>
      <c r="T137" s="48"/>
      <c r="U137" s="48"/>
      <c r="V137" s="43" t="s">
        <v>707</v>
      </c>
      <c r="W137" s="46" t="s">
        <v>861</v>
      </c>
      <c r="X137" s="46" t="s">
        <v>861</v>
      </c>
      <c r="Y137" s="46">
        <v>0</v>
      </c>
      <c r="Z137" s="46">
        <v>2</v>
      </c>
      <c r="AA137" s="46">
        <v>191517</v>
      </c>
      <c r="AB137" s="46">
        <v>146028020</v>
      </c>
      <c r="AC137" s="47">
        <f>1 - AD137</f>
        <v>1</v>
      </c>
      <c r="AD137" s="47">
        <f>Y137/AA137</f>
        <v>0</v>
      </c>
      <c r="AE137" s="47">
        <f>1 - AF137</f>
        <v>0.99999998630399833</v>
      </c>
      <c r="AF137" s="47">
        <f>Z137/AB137</f>
        <v>1.3696001630372033E-8</v>
      </c>
    </row>
    <row r="138" spans="1:32" ht="124.2" x14ac:dyDescent="0.3">
      <c r="A138" s="34">
        <v>217</v>
      </c>
      <c r="B138" s="28" t="s">
        <v>702</v>
      </c>
      <c r="C138" s="28" t="s">
        <v>703</v>
      </c>
      <c r="D138" s="28" t="s">
        <v>24</v>
      </c>
      <c r="E138" s="28" t="s">
        <v>697</v>
      </c>
      <c r="F138" s="28" t="s">
        <v>704</v>
      </c>
      <c r="G138" s="28" t="s">
        <v>860</v>
      </c>
      <c r="H138" s="28" t="s">
        <v>245</v>
      </c>
      <c r="I138" s="45" t="str">
        <f>CONCATENATE("SUM(CASE WHEN (MCS.",F138," IN (' ', '~') OR MCS.",F138, " IS NULL) THEN 1 ELSE 0 END) AS ",F138,",")</f>
        <v>SUM(CASE WHEN (MCS.CLM_LINE_THRPY_CAP_IND_3_CD IN (' ', '~') OR MCS.CLM_LINE_THRPY_CAP_IND_3_CD IS NULL) THEN 1 ELSE 0 END) AS CLM_LINE_THRPY_CAP_IND_3_CD,</v>
      </c>
      <c r="J138" s="28" t="s">
        <v>704</v>
      </c>
      <c r="K138" s="46" t="s">
        <v>861</v>
      </c>
      <c r="L138" s="46">
        <v>0</v>
      </c>
      <c r="M138" s="57">
        <v>135449900</v>
      </c>
      <c r="N138" s="47">
        <f xml:space="preserve"> 1 -O138</f>
        <v>1</v>
      </c>
      <c r="O138" s="48">
        <f>L138/M138</f>
        <v>0</v>
      </c>
      <c r="P138" s="28" t="s">
        <v>704</v>
      </c>
      <c r="Q138" s="48"/>
      <c r="R138" s="48"/>
      <c r="S138" s="54"/>
      <c r="T138" s="48"/>
      <c r="U138" s="48"/>
      <c r="V138" s="43" t="s">
        <v>704</v>
      </c>
      <c r="W138" s="46" t="s">
        <v>861</v>
      </c>
      <c r="X138" s="46" t="s">
        <v>861</v>
      </c>
      <c r="Y138" s="46">
        <v>0</v>
      </c>
      <c r="Z138" s="46">
        <v>2</v>
      </c>
      <c r="AA138" s="46">
        <v>191517</v>
      </c>
      <c r="AB138" s="46">
        <v>146028020</v>
      </c>
      <c r="AC138" s="47">
        <f>1 - AD138</f>
        <v>1</v>
      </c>
      <c r="AD138" s="47">
        <f>Y138/AA138</f>
        <v>0</v>
      </c>
      <c r="AE138" s="47">
        <f>1 - AF138</f>
        <v>0.99999998630399833</v>
      </c>
      <c r="AF138" s="47">
        <f>Z138/AB138</f>
        <v>1.3696001630372033E-8</v>
      </c>
    </row>
    <row r="139" spans="1:32" ht="124.2" x14ac:dyDescent="0.3">
      <c r="A139" s="34">
        <v>216</v>
      </c>
      <c r="B139" s="28" t="s">
        <v>699</v>
      </c>
      <c r="C139" s="28" t="s">
        <v>700</v>
      </c>
      <c r="D139" s="28" t="s">
        <v>24</v>
      </c>
      <c r="E139" s="28" t="s">
        <v>697</v>
      </c>
      <c r="F139" s="28" t="s">
        <v>701</v>
      </c>
      <c r="G139" s="28" t="s">
        <v>860</v>
      </c>
      <c r="H139" s="28" t="s">
        <v>245</v>
      </c>
      <c r="I139" s="45" t="str">
        <f>CONCATENATE("SUM(CASE WHEN (MCS.",F139," IN (' ', '~') OR MCS.",F139, " IS NULL) THEN 1 ELSE 0 END) AS ",F139,",")</f>
        <v>SUM(CASE WHEN (MCS.CLM_LINE_THRPY_CAP_IND_2_CD IN (' ', '~') OR MCS.CLM_LINE_THRPY_CAP_IND_2_CD IS NULL) THEN 1 ELSE 0 END) AS CLM_LINE_THRPY_CAP_IND_2_CD,</v>
      </c>
      <c r="J139" s="28" t="s">
        <v>701</v>
      </c>
      <c r="K139" s="46" t="s">
        <v>861</v>
      </c>
      <c r="L139" s="46">
        <v>0</v>
      </c>
      <c r="M139" s="57">
        <v>135449900</v>
      </c>
      <c r="N139" s="47">
        <f xml:space="preserve"> 1 -O139</f>
        <v>1</v>
      </c>
      <c r="O139" s="48">
        <f>L139/M139</f>
        <v>0</v>
      </c>
      <c r="P139" s="28" t="s">
        <v>701</v>
      </c>
      <c r="Q139" s="48"/>
      <c r="R139" s="48"/>
      <c r="S139" s="54"/>
      <c r="T139" s="48"/>
      <c r="U139" s="48"/>
      <c r="V139" s="43" t="s">
        <v>701</v>
      </c>
      <c r="W139" s="46" t="s">
        <v>861</v>
      </c>
      <c r="X139" s="46" t="s">
        <v>861</v>
      </c>
      <c r="Y139" s="46">
        <v>0</v>
      </c>
      <c r="Z139" s="46">
        <v>2</v>
      </c>
      <c r="AA139" s="46">
        <v>191517</v>
      </c>
      <c r="AB139" s="46">
        <v>146028020</v>
      </c>
      <c r="AC139" s="47">
        <f>1 - AD139</f>
        <v>1</v>
      </c>
      <c r="AD139" s="47">
        <f>Y139/AA139</f>
        <v>0</v>
      </c>
      <c r="AE139" s="47">
        <f>1 - AF139</f>
        <v>0.99999998630399833</v>
      </c>
      <c r="AF139" s="47">
        <f>Z139/AB139</f>
        <v>1.3696001630372033E-8</v>
      </c>
    </row>
    <row r="140" spans="1:32" ht="124.2" x14ac:dyDescent="0.3">
      <c r="A140" s="34">
        <v>215</v>
      </c>
      <c r="B140" s="28" t="s">
        <v>695</v>
      </c>
      <c r="C140" s="28" t="s">
        <v>696</v>
      </c>
      <c r="D140" s="28" t="s">
        <v>24</v>
      </c>
      <c r="E140" s="28" t="s">
        <v>697</v>
      </c>
      <c r="F140" s="28" t="s">
        <v>698</v>
      </c>
      <c r="G140" s="28" t="s">
        <v>860</v>
      </c>
      <c r="H140" s="28" t="s">
        <v>245</v>
      </c>
      <c r="I140" s="45" t="str">
        <f>CONCATENATE("SUM(CASE WHEN (MCS.",F140," IN (' ', '~') OR MCS.",F140, " IS NULL) THEN 1 ELSE 0 END) AS ",F140,",")</f>
        <v>SUM(CASE WHEN (MCS.CLM_LINE_THRPY_CAP_IND_1_CD IN (' ', '~') OR MCS.CLM_LINE_THRPY_CAP_IND_1_CD IS NULL) THEN 1 ELSE 0 END) AS CLM_LINE_THRPY_CAP_IND_1_CD,</v>
      </c>
      <c r="J140" s="28" t="s">
        <v>698</v>
      </c>
      <c r="K140" s="46" t="s">
        <v>861</v>
      </c>
      <c r="L140" s="46">
        <v>0</v>
      </c>
      <c r="M140" s="57">
        <v>135449900</v>
      </c>
      <c r="N140" s="47">
        <f xml:space="preserve"> 1 -O140</f>
        <v>1</v>
      </c>
      <c r="O140" s="48">
        <f>L140/M140</f>
        <v>0</v>
      </c>
      <c r="P140" s="28" t="s">
        <v>698</v>
      </c>
      <c r="Q140" s="48"/>
      <c r="R140" s="48"/>
      <c r="S140" s="54"/>
      <c r="T140" s="48"/>
      <c r="U140" s="48"/>
      <c r="V140" s="43" t="s">
        <v>698</v>
      </c>
      <c r="W140" s="46" t="s">
        <v>861</v>
      </c>
      <c r="X140" s="46" t="s">
        <v>861</v>
      </c>
      <c r="Y140" s="46">
        <v>0</v>
      </c>
      <c r="Z140" s="46">
        <v>2</v>
      </c>
      <c r="AA140" s="46">
        <v>191517</v>
      </c>
      <c r="AB140" s="46">
        <v>146028020</v>
      </c>
      <c r="AC140" s="47">
        <f>1 - AD140</f>
        <v>1</v>
      </c>
      <c r="AD140" s="47">
        <f>Y140/AA140</f>
        <v>0</v>
      </c>
      <c r="AE140" s="47">
        <f>1 - AF140</f>
        <v>0.99999998630399833</v>
      </c>
      <c r="AF140" s="47">
        <f>Z140/AB140</f>
        <v>1.3696001630372033E-8</v>
      </c>
    </row>
    <row r="141" spans="1:32" ht="82.8" x14ac:dyDescent="0.3">
      <c r="A141" s="34">
        <v>136</v>
      </c>
      <c r="B141" s="28" t="s">
        <v>444</v>
      </c>
      <c r="C141" s="28" t="s">
        <v>445</v>
      </c>
      <c r="D141" s="28" t="s">
        <v>24</v>
      </c>
      <c r="E141" s="43" t="s">
        <v>57</v>
      </c>
      <c r="F141" s="43" t="s">
        <v>446</v>
      </c>
      <c r="G141" s="55" t="s">
        <v>15</v>
      </c>
      <c r="H141" s="44" t="s">
        <v>15</v>
      </c>
      <c r="I141" s="45" t="str">
        <f>CONCATENATE("SUM(CASE WHEN (MCS.",F141, " IS NULL) THEN 1 ELSE 0 END) AS ",F141,",")</f>
        <v>SUM(CASE WHEN (MCS.CLM_LINE_SRVC_UNIT_QTY IS NULL) THEN 1 ELSE 0 END) AS CLM_LINE_SRVC_UNIT_QTY,</v>
      </c>
      <c r="J141" s="43" t="s">
        <v>446</v>
      </c>
      <c r="K141" s="46" t="s">
        <v>861</v>
      </c>
      <c r="L141" s="46">
        <v>0</v>
      </c>
      <c r="M141" s="46">
        <v>135351338</v>
      </c>
      <c r="N141" s="47">
        <f xml:space="preserve"> 1 -O141</f>
        <v>1</v>
      </c>
      <c r="O141" s="48">
        <f>L141/M141</f>
        <v>0</v>
      </c>
      <c r="P141" s="43" t="s">
        <v>446</v>
      </c>
      <c r="Q141" s="48"/>
      <c r="R141" s="48"/>
      <c r="S141" s="54"/>
      <c r="T141" s="48"/>
      <c r="U141" s="48"/>
      <c r="V141" s="43" t="s">
        <v>446</v>
      </c>
      <c r="W141" s="46" t="s">
        <v>861</v>
      </c>
      <c r="X141" s="46" t="s">
        <v>861</v>
      </c>
      <c r="Y141" s="46">
        <v>0</v>
      </c>
      <c r="Z141" s="46">
        <v>0</v>
      </c>
      <c r="AA141" s="46">
        <v>191518</v>
      </c>
      <c r="AB141" s="46">
        <v>146028028</v>
      </c>
      <c r="AC141" s="47">
        <f>1 - AD141</f>
        <v>1</v>
      </c>
      <c r="AD141" s="47">
        <f>Y141/AA141</f>
        <v>0</v>
      </c>
      <c r="AE141" s="47">
        <f>1 - AF141</f>
        <v>1</v>
      </c>
      <c r="AF141" s="47">
        <f>Z141/AB141</f>
        <v>0</v>
      </c>
    </row>
    <row r="142" spans="1:32" ht="82.8" x14ac:dyDescent="0.3">
      <c r="A142" s="34">
        <v>163</v>
      </c>
      <c r="B142" s="28" t="s">
        <v>529</v>
      </c>
      <c r="C142" s="28" t="s">
        <v>530</v>
      </c>
      <c r="D142" s="28" t="s">
        <v>24</v>
      </c>
      <c r="E142" s="28" t="s">
        <v>57</v>
      </c>
      <c r="F142" s="28" t="s">
        <v>531</v>
      </c>
      <c r="G142" s="44" t="s">
        <v>15</v>
      </c>
      <c r="H142" s="44" t="s">
        <v>15</v>
      </c>
      <c r="I142" s="45" t="str">
        <f>CONCATENATE("SUM(CASE WHEN (MCS.",F142, " IS NULL) THEN 1 ELSE 0 END) AS ",F142,",")</f>
        <v>SUM(CASE WHEN (MCS.CLM_LINE_SBMT_CHRG_AMT IS NULL) THEN 1 ELSE 0 END) AS CLM_LINE_SBMT_CHRG_AMT,</v>
      </c>
      <c r="J142" s="28" t="s">
        <v>531</v>
      </c>
      <c r="K142" s="46" t="s">
        <v>861</v>
      </c>
      <c r="L142" s="46">
        <v>0</v>
      </c>
      <c r="M142" s="46">
        <v>135351338</v>
      </c>
      <c r="N142" s="47">
        <f xml:space="preserve"> 1 -O142</f>
        <v>1</v>
      </c>
      <c r="O142" s="48">
        <f>L142/M142</f>
        <v>0</v>
      </c>
      <c r="P142" s="28" t="s">
        <v>531</v>
      </c>
      <c r="Q142" s="48"/>
      <c r="R142" s="48"/>
      <c r="S142" s="54"/>
      <c r="T142" s="48"/>
      <c r="U142" s="48"/>
      <c r="V142" s="43" t="s">
        <v>531</v>
      </c>
      <c r="W142" s="46" t="s">
        <v>861</v>
      </c>
      <c r="X142" s="46" t="s">
        <v>861</v>
      </c>
      <c r="Y142" s="46">
        <v>0</v>
      </c>
      <c r="Z142" s="46">
        <v>0</v>
      </c>
      <c r="AA142" s="46">
        <v>191518</v>
      </c>
      <c r="AB142" s="46">
        <v>146028028</v>
      </c>
      <c r="AC142" s="47">
        <f>1 - AD142</f>
        <v>1</v>
      </c>
      <c r="AD142" s="47">
        <f>Y142/AA142</f>
        <v>0</v>
      </c>
      <c r="AE142" s="47">
        <f>1 - AF142</f>
        <v>1</v>
      </c>
      <c r="AF142" s="47">
        <f>Z142/AB142</f>
        <v>0</v>
      </c>
    </row>
    <row r="143" spans="1:32" ht="96.6" x14ac:dyDescent="0.3">
      <c r="A143" s="34">
        <v>187</v>
      </c>
      <c r="B143" s="28" t="s">
        <v>609</v>
      </c>
      <c r="C143" s="28" t="s">
        <v>610</v>
      </c>
      <c r="D143" s="28" t="s">
        <v>24</v>
      </c>
      <c r="E143" s="28" t="s">
        <v>57</v>
      </c>
      <c r="F143" s="43" t="s">
        <v>611</v>
      </c>
      <c r="G143" s="55" t="s">
        <v>15</v>
      </c>
      <c r="H143" s="44" t="s">
        <v>15</v>
      </c>
      <c r="I143" s="45" t="str">
        <f>CONCATENATE("SUM(CASE WHEN (MCS.",F143," IN (' ', '~') OR MCS.",F143, " IS NULL) THEN 1 ELSE 0 END) AS ",F143,",")</f>
        <v>SUM(CASE WHEN (MCS.CLM_LINE_RX_NUM IN (' ', '~') OR MCS.CLM_LINE_RX_NUM IS NULL) THEN 1 ELSE 0 END) AS CLM_LINE_RX_NUM,</v>
      </c>
      <c r="J143" s="43" t="s">
        <v>611</v>
      </c>
      <c r="K143" s="46" t="s">
        <v>861</v>
      </c>
      <c r="L143" s="46">
        <v>0</v>
      </c>
      <c r="M143" s="46">
        <v>135351338</v>
      </c>
      <c r="N143" s="47">
        <f xml:space="preserve"> 1 -O143</f>
        <v>1</v>
      </c>
      <c r="O143" s="48">
        <f>L143/M143</f>
        <v>0</v>
      </c>
      <c r="P143" s="43" t="s">
        <v>611</v>
      </c>
      <c r="Q143" s="48"/>
      <c r="R143" s="48"/>
      <c r="S143" s="54"/>
      <c r="T143" s="48"/>
      <c r="U143" s="48"/>
      <c r="V143" s="43" t="s">
        <v>611</v>
      </c>
      <c r="W143" s="46" t="s">
        <v>861</v>
      </c>
      <c r="X143" s="46" t="s">
        <v>861</v>
      </c>
      <c r="Y143" s="46">
        <v>0</v>
      </c>
      <c r="Z143" s="46">
        <v>0</v>
      </c>
      <c r="AA143" s="46">
        <v>191518</v>
      </c>
      <c r="AB143" s="46">
        <v>146028028</v>
      </c>
      <c r="AC143" s="47">
        <f>1 - AD143</f>
        <v>1</v>
      </c>
      <c r="AD143" s="47">
        <f>Y143/AA143</f>
        <v>0</v>
      </c>
      <c r="AE143" s="47">
        <f>1 - AF143</f>
        <v>1</v>
      </c>
      <c r="AF143" s="47">
        <f>Z143/AB143</f>
        <v>0</v>
      </c>
    </row>
    <row r="144" spans="1:32" ht="138" x14ac:dyDescent="0.3">
      <c r="A144" s="34">
        <v>235</v>
      </c>
      <c r="B144" s="28" t="s">
        <v>769</v>
      </c>
      <c r="C144" s="28" t="s">
        <v>770</v>
      </c>
      <c r="D144" s="28" t="s">
        <v>24</v>
      </c>
      <c r="E144" s="28" t="s">
        <v>697</v>
      </c>
      <c r="F144" s="28" t="s">
        <v>771</v>
      </c>
      <c r="G144" s="28" t="s">
        <v>898</v>
      </c>
      <c r="H144" s="44" t="s">
        <v>15</v>
      </c>
      <c r="I144" s="45" t="str">
        <f>CONCATENATE("SUM(CASE WHEN (MCS.",F144," IN (' ', '~') OR MCS.",F144, " IS NULL) THEN 1 ELSE 0 END) AS ",F144,",")</f>
        <v>SUM(CASE WHEN (MCS.CLM_LINE_RSDL_PYMT_IND_CD IN (' ', '~') OR MCS.CLM_LINE_RSDL_PYMT_IND_CD IS NULL) THEN 1 ELSE 0 END) AS CLM_LINE_RSDL_PYMT_IND_CD,</v>
      </c>
      <c r="J144" s="28" t="s">
        <v>771</v>
      </c>
      <c r="K144" s="46" t="s">
        <v>861</v>
      </c>
      <c r="L144" s="46">
        <v>0</v>
      </c>
      <c r="M144" s="57">
        <v>135449900</v>
      </c>
      <c r="N144" s="47">
        <f xml:space="preserve"> 1 -O144</f>
        <v>1</v>
      </c>
      <c r="O144" s="48">
        <f>L144/M144</f>
        <v>0</v>
      </c>
      <c r="P144" s="28" t="s">
        <v>771</v>
      </c>
      <c r="Q144" s="48"/>
      <c r="R144" s="48"/>
      <c r="S144" s="54"/>
      <c r="T144" s="48"/>
      <c r="U144" s="48"/>
      <c r="V144" s="43" t="s">
        <v>771</v>
      </c>
      <c r="W144" s="46" t="s">
        <v>862</v>
      </c>
      <c r="X144" s="46" t="s">
        <v>862</v>
      </c>
      <c r="Y144" s="46">
        <v>191517</v>
      </c>
      <c r="Z144" s="46">
        <v>146028020</v>
      </c>
      <c r="AA144" s="46">
        <v>191517</v>
      </c>
      <c r="AB144" s="46">
        <v>146028020</v>
      </c>
      <c r="AC144" s="47">
        <f>1 - AD144</f>
        <v>0</v>
      </c>
      <c r="AD144" s="47">
        <f>Y144/AA144</f>
        <v>1</v>
      </c>
      <c r="AE144" s="47">
        <f>1 - AF144</f>
        <v>0</v>
      </c>
      <c r="AF144" s="47">
        <f>Z144/AB144</f>
        <v>1</v>
      </c>
    </row>
    <row r="145" spans="1:32" ht="96.6" x14ac:dyDescent="0.3">
      <c r="A145" s="34">
        <v>162</v>
      </c>
      <c r="B145" s="28" t="s">
        <v>526</v>
      </c>
      <c r="C145" s="28" t="s">
        <v>527</v>
      </c>
      <c r="D145" s="28" t="s">
        <v>24</v>
      </c>
      <c r="E145" s="28" t="s">
        <v>57</v>
      </c>
      <c r="F145" s="43" t="s">
        <v>528</v>
      </c>
      <c r="G145" s="44" t="s">
        <v>15</v>
      </c>
      <c r="H145" s="44" t="s">
        <v>15</v>
      </c>
      <c r="I145" s="45" t="str">
        <f>CONCATENATE("SUM(CASE WHEN (MCS.",F145, " IS NULL) THEN 1 ELSE 0 END) AS ",F145,",")</f>
        <v>SUM(CASE WHEN (MCS.CLM_LINE_PTB_BLOOD_DDCTBL_QTY IS NULL) THEN 1 ELSE 0 END) AS CLM_LINE_PTB_BLOOD_DDCTBL_QTY,</v>
      </c>
      <c r="J145" s="43" t="s">
        <v>528</v>
      </c>
      <c r="K145" s="46" t="s">
        <v>861</v>
      </c>
      <c r="L145" s="46">
        <v>0</v>
      </c>
      <c r="M145" s="46">
        <v>135351338</v>
      </c>
      <c r="N145" s="47">
        <f xml:space="preserve"> 1 -O145</f>
        <v>1</v>
      </c>
      <c r="O145" s="48">
        <f>L145/M145</f>
        <v>0</v>
      </c>
      <c r="P145" s="43" t="s">
        <v>528</v>
      </c>
      <c r="Q145" s="48"/>
      <c r="R145" s="48"/>
      <c r="S145" s="54"/>
      <c r="T145" s="48"/>
      <c r="U145" s="48"/>
      <c r="V145" s="43" t="s">
        <v>528</v>
      </c>
      <c r="W145" s="46" t="s">
        <v>861</v>
      </c>
      <c r="X145" s="46" t="s">
        <v>861</v>
      </c>
      <c r="Y145" s="46">
        <v>0</v>
      </c>
      <c r="Z145" s="46">
        <v>0</v>
      </c>
      <c r="AA145" s="46">
        <v>191518</v>
      </c>
      <c r="AB145" s="46">
        <v>146028028</v>
      </c>
      <c r="AC145" s="47">
        <f>1 - AD145</f>
        <v>1</v>
      </c>
      <c r="AD145" s="47">
        <f>Y145/AA145</f>
        <v>0</v>
      </c>
      <c r="AE145" s="47">
        <f>1 - AF145</f>
        <v>1</v>
      </c>
      <c r="AF145" s="47">
        <f>Z145/AB145</f>
        <v>0</v>
      </c>
    </row>
    <row r="146" spans="1:32" ht="82.8" x14ac:dyDescent="0.3">
      <c r="A146" s="34">
        <v>153</v>
      </c>
      <c r="B146" s="28" t="s">
        <v>499</v>
      </c>
      <c r="C146" s="28" t="s">
        <v>500</v>
      </c>
      <c r="D146" s="28" t="s">
        <v>24</v>
      </c>
      <c r="E146" s="28" t="s">
        <v>57</v>
      </c>
      <c r="F146" s="28" t="s">
        <v>501</v>
      </c>
      <c r="G146" s="55" t="s">
        <v>15</v>
      </c>
      <c r="H146" s="44" t="s">
        <v>15</v>
      </c>
      <c r="I146" s="45" t="str">
        <f>CONCATENATE("SUM(CASE WHEN (MCS.",F146, " IS NULL) THEN 1 ELSE 0 END) AS ",F146,",")</f>
        <v>SUM(CASE WHEN (MCS.CLM_LINE_PRVDR_PMT_AMT IS NULL) THEN 1 ELSE 0 END) AS CLM_LINE_PRVDR_PMT_AMT,</v>
      </c>
      <c r="J146" s="28" t="s">
        <v>501</v>
      </c>
      <c r="K146" s="46" t="s">
        <v>861</v>
      </c>
      <c r="L146" s="46">
        <v>0</v>
      </c>
      <c r="M146" s="46">
        <v>135351338</v>
      </c>
      <c r="N146" s="47">
        <f xml:space="preserve"> 1 -O146</f>
        <v>1</v>
      </c>
      <c r="O146" s="48">
        <f>L146/M146</f>
        <v>0</v>
      </c>
      <c r="P146" s="28" t="s">
        <v>501</v>
      </c>
      <c r="Q146" s="48"/>
      <c r="R146" s="48"/>
      <c r="S146" s="54"/>
      <c r="T146" s="48"/>
      <c r="U146" s="48"/>
      <c r="V146" s="43" t="s">
        <v>501</v>
      </c>
      <c r="W146" s="46" t="s">
        <v>861</v>
      </c>
      <c r="X146" s="46" t="s">
        <v>861</v>
      </c>
      <c r="Y146" s="46">
        <v>0</v>
      </c>
      <c r="Z146" s="46">
        <v>0</v>
      </c>
      <c r="AA146" s="46">
        <v>191518</v>
      </c>
      <c r="AB146" s="46">
        <v>146028028</v>
      </c>
      <c r="AC146" s="47">
        <f>1 - AD146</f>
        <v>1</v>
      </c>
      <c r="AD146" s="47">
        <f>Y146/AA146</f>
        <v>0</v>
      </c>
      <c r="AE146" s="47">
        <f>1 - AF146</f>
        <v>1</v>
      </c>
      <c r="AF146" s="47">
        <f>Z146/AB146</f>
        <v>0</v>
      </c>
    </row>
    <row r="147" spans="1:32" ht="82.8" x14ac:dyDescent="0.3">
      <c r="A147" s="34">
        <v>190</v>
      </c>
      <c r="B147" s="28" t="s">
        <v>618</v>
      </c>
      <c r="C147" s="28" t="s">
        <v>619</v>
      </c>
      <c r="D147" s="28" t="s">
        <v>24</v>
      </c>
      <c r="E147" s="28" t="s">
        <v>436</v>
      </c>
      <c r="F147" s="28" t="s">
        <v>620</v>
      </c>
      <c r="G147" s="44" t="s">
        <v>15</v>
      </c>
      <c r="H147" s="44" t="s">
        <v>15</v>
      </c>
      <c r="I147" s="45" t="str">
        <f>CONCATENATE("SUM(CASE WHEN (MCS.",F147, " IS NULL) THEN 1 ELSE 0 END) AS ",F147,",")</f>
        <v>SUM(CASE WHEN (MCS.CLM_LINE_PRFNL_WC_IND IS NULL) THEN 1 ELSE 0 END) AS CLM_LINE_PRFNL_WC_IND,</v>
      </c>
      <c r="J147" s="28" t="s">
        <v>620</v>
      </c>
      <c r="K147" s="46" t="s">
        <v>861</v>
      </c>
      <c r="L147" s="46">
        <v>0</v>
      </c>
      <c r="M147" s="46">
        <v>135449900</v>
      </c>
      <c r="N147" s="47">
        <f xml:space="preserve"> 1 -O147</f>
        <v>1</v>
      </c>
      <c r="O147" s="48">
        <f>L147/M147</f>
        <v>0</v>
      </c>
      <c r="P147" s="28" t="s">
        <v>620</v>
      </c>
      <c r="Q147" s="48"/>
      <c r="R147" s="48"/>
      <c r="S147" s="54"/>
      <c r="T147" s="48"/>
      <c r="U147" s="48"/>
      <c r="V147" s="24" t="s">
        <v>620</v>
      </c>
      <c r="W147" s="58" t="s">
        <v>862</v>
      </c>
      <c r="X147" s="58" t="s">
        <v>862</v>
      </c>
      <c r="Y147" s="57">
        <v>191518</v>
      </c>
      <c r="Z147" s="57">
        <v>146028028</v>
      </c>
      <c r="AA147" s="57">
        <v>191518</v>
      </c>
      <c r="AB147" s="57">
        <v>146028028</v>
      </c>
      <c r="AC147" s="47">
        <f>1 - AD147</f>
        <v>0</v>
      </c>
      <c r="AD147" s="47">
        <f>Y147/AA147</f>
        <v>1</v>
      </c>
      <c r="AE147" s="47">
        <f>1 - AF147</f>
        <v>0</v>
      </c>
      <c r="AF147" s="47">
        <f>Z147/AB147</f>
        <v>1</v>
      </c>
    </row>
    <row r="148" spans="1:32" ht="82.8" x14ac:dyDescent="0.3">
      <c r="A148" s="34">
        <v>161</v>
      </c>
      <c r="B148" s="28" t="s">
        <v>523</v>
      </c>
      <c r="C148" s="28" t="s">
        <v>524</v>
      </c>
      <c r="D148" s="28" t="s">
        <v>24</v>
      </c>
      <c r="E148" s="28" t="s">
        <v>436</v>
      </c>
      <c r="F148" s="28" t="s">
        <v>525</v>
      </c>
      <c r="G148" s="44" t="s">
        <v>15</v>
      </c>
      <c r="H148" s="44" t="s">
        <v>15</v>
      </c>
      <c r="I148" s="45" t="str">
        <f>CONCATENATE("SUM(CASE WHEN (MCS.",F148, " IS NULL) THEN 1 ELSE 0 END) AS ",F148,",")</f>
        <v>SUM(CASE WHEN (MCS.CLM_LINE_PRFNL_PNLTY_AMT IS NULL) THEN 1 ELSE 0 END) AS CLM_LINE_PRFNL_PNLTY_AMT,</v>
      </c>
      <c r="J148" s="28" t="s">
        <v>525</v>
      </c>
      <c r="K148" s="46" t="s">
        <v>861</v>
      </c>
      <c r="L148" s="46">
        <v>0</v>
      </c>
      <c r="M148" s="46">
        <v>135449900</v>
      </c>
      <c r="N148" s="47">
        <f xml:space="preserve"> 1 -O148</f>
        <v>1</v>
      </c>
      <c r="O148" s="48">
        <f>L148/M148</f>
        <v>0</v>
      </c>
      <c r="P148" s="28" t="s">
        <v>525</v>
      </c>
      <c r="Q148" s="48"/>
      <c r="R148" s="48"/>
      <c r="S148" s="54"/>
      <c r="T148" s="48"/>
      <c r="U148" s="48"/>
      <c r="V148" s="24" t="s">
        <v>525</v>
      </c>
      <c r="W148" s="58" t="s">
        <v>861</v>
      </c>
      <c r="X148" s="58" t="s">
        <v>861</v>
      </c>
      <c r="Y148" s="59" t="s">
        <v>908</v>
      </c>
      <c r="Z148" s="59" t="s">
        <v>909</v>
      </c>
      <c r="AA148" s="57">
        <v>191518</v>
      </c>
      <c r="AB148" s="57">
        <v>146028028</v>
      </c>
      <c r="AC148" s="47">
        <f>1 - AD148</f>
        <v>0</v>
      </c>
      <c r="AD148" s="47">
        <f>1 - AE148</f>
        <v>1</v>
      </c>
      <c r="AE148" s="47">
        <f>1 - AF148</f>
        <v>0</v>
      </c>
      <c r="AF148" s="47">
        <f>1 - AG148</f>
        <v>1</v>
      </c>
    </row>
    <row r="149" spans="1:32" ht="82.8" x14ac:dyDescent="0.3">
      <c r="A149" s="34">
        <v>171</v>
      </c>
      <c r="B149" s="28" t="s">
        <v>553</v>
      </c>
      <c r="C149" s="28" t="s">
        <v>554</v>
      </c>
      <c r="D149" s="28" t="s">
        <v>24</v>
      </c>
      <c r="E149" s="28" t="s">
        <v>436</v>
      </c>
      <c r="F149" s="28" t="s">
        <v>555</v>
      </c>
      <c r="G149" s="44" t="s">
        <v>15</v>
      </c>
      <c r="H149" s="44" t="s">
        <v>15</v>
      </c>
      <c r="I149" s="45" t="str">
        <f>CONCATENATE("SUM(CASE WHEN (",F149, " IS NULL) THEN 1 ELSE 0 END) AS ",F149,",")</f>
        <v>SUM(CASE WHEN (CLM_LINE_PRFNL_MTUS_CNT IS NULL) THEN 1 ELSE 0 END) AS CLM_LINE_PRFNL_MTUS_CNT,</v>
      </c>
      <c r="J149" s="28" t="s">
        <v>555</v>
      </c>
      <c r="K149" s="46" t="s">
        <v>861</v>
      </c>
      <c r="L149" s="46">
        <v>0</v>
      </c>
      <c r="M149" s="46">
        <v>135449900</v>
      </c>
      <c r="N149" s="47">
        <f xml:space="preserve"> 1 -O149</f>
        <v>1</v>
      </c>
      <c r="O149" s="48">
        <f>L149/M149</f>
        <v>0</v>
      </c>
      <c r="P149" s="28" t="s">
        <v>555</v>
      </c>
      <c r="Q149" s="48"/>
      <c r="R149" s="48"/>
      <c r="S149" s="54"/>
      <c r="T149" s="48"/>
      <c r="U149" s="48"/>
      <c r="V149" s="24" t="s">
        <v>555</v>
      </c>
      <c r="W149" s="58" t="s">
        <v>862</v>
      </c>
      <c r="X149" s="58" t="s">
        <v>862</v>
      </c>
      <c r="Y149" s="57">
        <v>191518</v>
      </c>
      <c r="Z149" s="57">
        <v>146028028</v>
      </c>
      <c r="AA149" s="57">
        <v>191518</v>
      </c>
      <c r="AB149" s="57">
        <v>146028028</v>
      </c>
      <c r="AC149" s="47">
        <f>1 - AD149</f>
        <v>0</v>
      </c>
      <c r="AD149" s="47">
        <f>Y149/AA149</f>
        <v>1</v>
      </c>
      <c r="AE149" s="47">
        <f>1 - AF149</f>
        <v>0</v>
      </c>
      <c r="AF149" s="47">
        <f>Z149/AB149</f>
        <v>1</v>
      </c>
    </row>
    <row r="150" spans="1:32" ht="82.8" x14ac:dyDescent="0.3">
      <c r="A150" s="34">
        <v>159</v>
      </c>
      <c r="B150" s="28" t="s">
        <v>517</v>
      </c>
      <c r="C150" s="28" t="s">
        <v>518</v>
      </c>
      <c r="D150" s="28" t="s">
        <v>24</v>
      </c>
      <c r="E150" s="28" t="s">
        <v>436</v>
      </c>
      <c r="F150" s="28" t="s">
        <v>519</v>
      </c>
      <c r="G150" s="44" t="s">
        <v>15</v>
      </c>
      <c r="H150" s="44" t="s">
        <v>15</v>
      </c>
      <c r="I150" s="45" t="str">
        <f>CONCATENATE("SUM(CASE WHEN (MCS.",F150, " IS NULL) THEN 1 ELSE 0 END) AS ",F150,",")</f>
        <v>SUM(CASE WHEN (MCS.CLM_LINE_PRFNL_INTRST_AMT IS NULL) THEN 1 ELSE 0 END) AS CLM_LINE_PRFNL_INTRST_AMT,</v>
      </c>
      <c r="J150" s="28" t="s">
        <v>519</v>
      </c>
      <c r="K150" s="46" t="s">
        <v>861</v>
      </c>
      <c r="L150" s="46">
        <v>0</v>
      </c>
      <c r="M150" s="46">
        <v>135449900</v>
      </c>
      <c r="N150" s="47">
        <f xml:space="preserve"> 1 -O150</f>
        <v>1</v>
      </c>
      <c r="O150" s="48">
        <f>L150/M150</f>
        <v>0</v>
      </c>
      <c r="P150" s="28" t="s">
        <v>519</v>
      </c>
      <c r="Q150" s="48"/>
      <c r="R150" s="48"/>
      <c r="S150" s="54"/>
      <c r="T150" s="48"/>
      <c r="U150" s="48"/>
      <c r="V150" s="24" t="s">
        <v>519</v>
      </c>
      <c r="W150" s="58" t="s">
        <v>862</v>
      </c>
      <c r="X150" s="58" t="s">
        <v>862</v>
      </c>
      <c r="Y150" s="57">
        <v>191518</v>
      </c>
      <c r="Z150" s="57">
        <v>146028028</v>
      </c>
      <c r="AA150" s="57">
        <v>191518</v>
      </c>
      <c r="AB150" s="57">
        <v>146028028</v>
      </c>
      <c r="AC150" s="47">
        <f>1 - AD150</f>
        <v>0</v>
      </c>
      <c r="AD150" s="47">
        <f>Y150/AA150</f>
        <v>1</v>
      </c>
      <c r="AE150" s="47">
        <f>1 - AF150</f>
        <v>0</v>
      </c>
      <c r="AF150" s="47">
        <f>Z150/AB150</f>
        <v>1</v>
      </c>
    </row>
    <row r="151" spans="1:32" ht="96.6" x14ac:dyDescent="0.3">
      <c r="A151" s="34">
        <v>180</v>
      </c>
      <c r="B151" s="28" t="s">
        <v>578</v>
      </c>
      <c r="C151" s="28" t="s">
        <v>579</v>
      </c>
      <c r="D151" s="28" t="s">
        <v>24</v>
      </c>
      <c r="E151" s="28" t="s">
        <v>436</v>
      </c>
      <c r="F151" s="28" t="s">
        <v>580</v>
      </c>
      <c r="G151" s="44" t="s">
        <v>15</v>
      </c>
      <c r="H151" s="44" t="s">
        <v>15</v>
      </c>
      <c r="I151" s="45" t="str">
        <f>CONCATENATE("SUM(CASE WHEN (MCS.",F151, " IS NULL) THEN 1 ELSE 0 END) AS ",F151,",")</f>
        <v>SUM(CASE WHEN (MCS.CLM_LINE_PRFNL_DME_PRICE_AMT IS NULL) THEN 1 ELSE 0 END) AS CLM_LINE_PRFNL_DME_PRICE_AMT,</v>
      </c>
      <c r="J151" s="28" t="s">
        <v>580</v>
      </c>
      <c r="K151" s="46" t="s">
        <v>861</v>
      </c>
      <c r="L151" s="46">
        <v>0</v>
      </c>
      <c r="M151" s="46">
        <v>135449900</v>
      </c>
      <c r="N151" s="47">
        <f xml:space="preserve"> 1 -O151</f>
        <v>1</v>
      </c>
      <c r="O151" s="48">
        <f>L151/M151</f>
        <v>0</v>
      </c>
      <c r="P151" s="28" t="s">
        <v>580</v>
      </c>
      <c r="Q151" s="48"/>
      <c r="R151" s="48"/>
      <c r="S151" s="54"/>
      <c r="T151" s="48"/>
      <c r="U151" s="48"/>
      <c r="V151" s="24" t="s">
        <v>580</v>
      </c>
      <c r="W151" s="58" t="s">
        <v>862</v>
      </c>
      <c r="X151" s="58" t="s">
        <v>862</v>
      </c>
      <c r="Y151" s="57">
        <v>191518</v>
      </c>
      <c r="Z151" s="57">
        <v>146028028</v>
      </c>
      <c r="AA151" s="57">
        <v>191518</v>
      </c>
      <c r="AB151" s="57">
        <v>146028028</v>
      </c>
      <c r="AC151" s="47">
        <f>1 - AD151</f>
        <v>0</v>
      </c>
      <c r="AD151" s="47">
        <f>Y151/AA151</f>
        <v>1</v>
      </c>
      <c r="AE151" s="47">
        <f>1 - AF151</f>
        <v>0</v>
      </c>
      <c r="AF151" s="47">
        <f>Z151/AB151</f>
        <v>1</v>
      </c>
    </row>
    <row r="152" spans="1:32" ht="165.6" x14ac:dyDescent="0.3">
      <c r="A152" s="34">
        <v>192</v>
      </c>
      <c r="B152" s="28" t="s">
        <v>895</v>
      </c>
      <c r="C152" s="28" t="s">
        <v>625</v>
      </c>
      <c r="D152" s="28" t="s">
        <v>24</v>
      </c>
      <c r="E152" s="28" t="s">
        <v>57</v>
      </c>
      <c r="F152" s="28" t="s">
        <v>626</v>
      </c>
      <c r="G152" s="28" t="s">
        <v>860</v>
      </c>
      <c r="H152" s="28" t="s">
        <v>627</v>
      </c>
      <c r="I152" s="45" t="str">
        <f>CONCATENATE("SUM(CASE WHEN (MCS.",F152," IN (' ', '~') OR MCS.",F152, " IS NULL) THEN 1 ELSE 0 END) AS ",F152,",")</f>
        <v>SUM(CASE WHEN (MCS.CLM_LINE_PMD_UNIQ_TRKNG_NUM IN (' ', '~') OR MCS.CLM_LINE_PMD_UNIQ_TRKNG_NUM IS NULL) THEN 1 ELSE 0 END) AS CLM_LINE_PMD_UNIQ_TRKNG_NUM,</v>
      </c>
      <c r="J152" s="28" t="s">
        <v>626</v>
      </c>
      <c r="K152" s="46" t="s">
        <v>861</v>
      </c>
      <c r="L152" s="46">
        <v>0</v>
      </c>
      <c r="M152" s="46">
        <v>135351338</v>
      </c>
      <c r="N152" s="47">
        <f xml:space="preserve"> 1 -O152</f>
        <v>1</v>
      </c>
      <c r="O152" s="48">
        <f>L152/M152</f>
        <v>0</v>
      </c>
      <c r="P152" s="28" t="s">
        <v>626</v>
      </c>
      <c r="Q152" s="48"/>
      <c r="R152" s="48"/>
      <c r="S152" s="54"/>
      <c r="T152" s="48"/>
      <c r="U152" s="48"/>
      <c r="V152" s="43" t="s">
        <v>626</v>
      </c>
      <c r="W152" s="46" t="s">
        <v>862</v>
      </c>
      <c r="X152" s="46" t="s">
        <v>862</v>
      </c>
      <c r="Y152" s="46">
        <v>191518</v>
      </c>
      <c r="Z152" s="46">
        <v>146028028</v>
      </c>
      <c r="AA152" s="46">
        <v>191518</v>
      </c>
      <c r="AB152" s="46">
        <v>146028028</v>
      </c>
      <c r="AC152" s="47">
        <f>1 - AD152</f>
        <v>0</v>
      </c>
      <c r="AD152" s="47">
        <f>Y152/AA152</f>
        <v>1</v>
      </c>
      <c r="AE152" s="47">
        <f>1 - AF152</f>
        <v>0</v>
      </c>
      <c r="AF152" s="47">
        <f>Z152/AB152</f>
        <v>1</v>
      </c>
    </row>
    <row r="153" spans="1:32" ht="138" x14ac:dyDescent="0.3">
      <c r="A153" s="34">
        <v>226</v>
      </c>
      <c r="B153" s="28" t="s">
        <v>730</v>
      </c>
      <c r="C153" s="28" t="s">
        <v>731</v>
      </c>
      <c r="D153" s="28" t="s">
        <v>24</v>
      </c>
      <c r="E153" s="28" t="s">
        <v>697</v>
      </c>
      <c r="F153" s="28" t="s">
        <v>732</v>
      </c>
      <c r="G153" s="28" t="s">
        <v>897</v>
      </c>
      <c r="H153" s="44" t="s">
        <v>15</v>
      </c>
      <c r="I153" s="45" t="str">
        <f>CONCATENATE("SUM(CASE WHEN (MCS.",F153," IN (' ', '~') OR MCS.",F153, " IS NULL) THEN 1 ELSE 0 END) AS ",F153,",")</f>
        <v>SUM(CASE WHEN (MCS.CLM_LINE_PA_IND_CD IN (' ', '~') OR MCS.CLM_LINE_PA_IND_CD IS NULL) THEN 1 ELSE 0 END) AS CLM_LINE_PA_IND_CD,</v>
      </c>
      <c r="J153" s="28" t="s">
        <v>732</v>
      </c>
      <c r="K153" s="46" t="s">
        <v>861</v>
      </c>
      <c r="L153" s="46">
        <v>0</v>
      </c>
      <c r="M153" s="57">
        <v>135449900</v>
      </c>
      <c r="N153" s="47">
        <f xml:space="preserve"> 1 -O153</f>
        <v>1</v>
      </c>
      <c r="O153" s="48">
        <f>L153/M153</f>
        <v>0</v>
      </c>
      <c r="P153" s="28" t="s">
        <v>732</v>
      </c>
      <c r="Q153" s="48"/>
      <c r="R153" s="48"/>
      <c r="S153" s="54"/>
      <c r="T153" s="48"/>
      <c r="U153" s="48"/>
      <c r="V153" s="43" t="s">
        <v>732</v>
      </c>
      <c r="W153" s="46" t="s">
        <v>862</v>
      </c>
      <c r="X153" s="46" t="s">
        <v>862</v>
      </c>
      <c r="Y153" s="46">
        <v>191517</v>
      </c>
      <c r="Z153" s="46">
        <v>146028020</v>
      </c>
      <c r="AA153" s="46">
        <v>191517</v>
      </c>
      <c r="AB153" s="46">
        <v>146028020</v>
      </c>
      <c r="AC153" s="47">
        <f>1 - AD153</f>
        <v>0</v>
      </c>
      <c r="AD153" s="47">
        <f>Y153/AA153</f>
        <v>1</v>
      </c>
      <c r="AE153" s="47">
        <f>1 - AF153</f>
        <v>0</v>
      </c>
      <c r="AF153" s="47">
        <f>Z153/AB153</f>
        <v>1</v>
      </c>
    </row>
    <row r="154" spans="1:32" ht="138" x14ac:dyDescent="0.3">
      <c r="A154" s="34">
        <v>201</v>
      </c>
      <c r="B154" s="28" t="s">
        <v>657</v>
      </c>
      <c r="C154" s="28" t="s">
        <v>658</v>
      </c>
      <c r="D154" s="28" t="s">
        <v>659</v>
      </c>
      <c r="E154" s="28" t="s">
        <v>660</v>
      </c>
      <c r="F154" s="28" t="s">
        <v>661</v>
      </c>
      <c r="G154" s="28" t="s">
        <v>860</v>
      </c>
      <c r="H154" s="44" t="s">
        <v>15</v>
      </c>
      <c r="I154" s="45" t="str">
        <f>CONCATENATE("SUM(CASE WHEN (MCS.",F154," IN (' ', '~') OR MCS.",F154, " IS NULL) THEN 1 ELSE 0 END) AS ",F154,",")</f>
        <v>SUM(CASE WHEN (MCS.CLM_LINE_OTHR_APLD_CD IN (' ', '~') OR MCS.CLM_LINE_OTHR_APLD_CD IS NULL) THEN 1 ELSE 0 END) AS CLM_LINE_OTHR_APLD_CD,</v>
      </c>
      <c r="J154" s="28" t="s">
        <v>661</v>
      </c>
      <c r="K154" s="46" t="s">
        <v>861</v>
      </c>
      <c r="L154" s="46">
        <v>0</v>
      </c>
      <c r="M154" s="46">
        <v>947459366</v>
      </c>
      <c r="N154" s="47">
        <f xml:space="preserve"> 1 -O154</f>
        <v>1</v>
      </c>
      <c r="O154" s="48">
        <f>L154/M154</f>
        <v>0</v>
      </c>
      <c r="P154" s="28" t="s">
        <v>661</v>
      </c>
      <c r="Q154" s="48"/>
      <c r="R154" s="48"/>
      <c r="S154" s="54"/>
      <c r="T154" s="48"/>
      <c r="U154" s="48"/>
      <c r="V154" s="43" t="s">
        <v>661</v>
      </c>
      <c r="W154" s="46" t="s">
        <v>861</v>
      </c>
      <c r="X154" s="46" t="s">
        <v>861</v>
      </c>
      <c r="Y154" s="46">
        <v>0</v>
      </c>
      <c r="Z154" s="46">
        <v>0</v>
      </c>
      <c r="AA154" s="46">
        <v>29250</v>
      </c>
      <c r="AB154" s="46">
        <v>33482926</v>
      </c>
      <c r="AC154" s="47">
        <f>1 - AD154</f>
        <v>1</v>
      </c>
      <c r="AD154" s="47">
        <f>Y154/AA154</f>
        <v>0</v>
      </c>
      <c r="AE154" s="47">
        <f>1 - AF154</f>
        <v>1</v>
      </c>
      <c r="AF154" s="47">
        <f>Z154/AB154</f>
        <v>0</v>
      </c>
    </row>
    <row r="155" spans="1:32" ht="138" x14ac:dyDescent="0.3">
      <c r="A155" s="34">
        <v>202</v>
      </c>
      <c r="B155" s="28" t="s">
        <v>662</v>
      </c>
      <c r="C155" s="28" t="s">
        <v>663</v>
      </c>
      <c r="D155" s="28" t="s">
        <v>664</v>
      </c>
      <c r="E155" s="28" t="s">
        <v>660</v>
      </c>
      <c r="F155" s="28" t="s">
        <v>661</v>
      </c>
      <c r="G155" s="28" t="s">
        <v>860</v>
      </c>
      <c r="H155" s="44" t="s">
        <v>15</v>
      </c>
      <c r="I155" s="45" t="str">
        <f>CONCATENATE("SUM(CASE WHEN (MCS.",F155," IN (' ', '~') OR MCS.",F155, " IS NULL) THEN 1 ELSE 0 END) AS ",F155,",")</f>
        <v>SUM(CASE WHEN (MCS.CLM_LINE_OTHR_APLD_CD IN (' ', '~') OR MCS.CLM_LINE_OTHR_APLD_CD IS NULL) THEN 1 ELSE 0 END) AS CLM_LINE_OTHR_APLD_CD,</v>
      </c>
      <c r="J155" s="28" t="s">
        <v>661</v>
      </c>
      <c r="K155" s="46" t="s">
        <v>861</v>
      </c>
      <c r="L155" s="46">
        <v>0</v>
      </c>
      <c r="M155" s="46">
        <v>947459366</v>
      </c>
      <c r="N155" s="47">
        <f xml:space="preserve"> 1 -O155</f>
        <v>1</v>
      </c>
      <c r="O155" s="48">
        <f>L155/M155</f>
        <v>0</v>
      </c>
      <c r="P155" s="28" t="s">
        <v>661</v>
      </c>
      <c r="Q155" s="48"/>
      <c r="R155" s="48"/>
      <c r="S155" s="54"/>
      <c r="T155" s="48"/>
      <c r="U155" s="48"/>
      <c r="V155" s="43" t="s">
        <v>661</v>
      </c>
      <c r="W155" s="46" t="s">
        <v>861</v>
      </c>
      <c r="X155" s="46" t="s">
        <v>861</v>
      </c>
      <c r="Y155" s="46">
        <v>0</v>
      </c>
      <c r="Z155" s="46">
        <v>0</v>
      </c>
      <c r="AA155" s="46">
        <v>29250</v>
      </c>
      <c r="AB155" s="46">
        <v>33482926</v>
      </c>
      <c r="AC155" s="47">
        <f>1 - AD155</f>
        <v>1</v>
      </c>
      <c r="AD155" s="47">
        <f>Y155/AA155</f>
        <v>0</v>
      </c>
      <c r="AE155" s="47">
        <f>1 - AF155</f>
        <v>1</v>
      </c>
      <c r="AF155" s="47">
        <f>Z155/AB155</f>
        <v>0</v>
      </c>
    </row>
    <row r="156" spans="1:32" ht="138" x14ac:dyDescent="0.3">
      <c r="A156" s="34">
        <v>203</v>
      </c>
      <c r="B156" s="28" t="s">
        <v>665</v>
      </c>
      <c r="C156" s="28" t="s">
        <v>666</v>
      </c>
      <c r="D156" s="28" t="s">
        <v>667</v>
      </c>
      <c r="E156" s="28" t="s">
        <v>660</v>
      </c>
      <c r="F156" s="28" t="s">
        <v>661</v>
      </c>
      <c r="G156" s="28" t="s">
        <v>860</v>
      </c>
      <c r="H156" s="44" t="s">
        <v>15</v>
      </c>
      <c r="I156" s="45" t="str">
        <f>CONCATENATE("SUM(CASE WHEN (MCS.",F156," IN (' ', '~') OR MCS.",F156, " IS NULL) THEN 1 ELSE 0 END) AS ",F156,",")</f>
        <v>SUM(CASE WHEN (MCS.CLM_LINE_OTHR_APLD_CD IN (' ', '~') OR MCS.CLM_LINE_OTHR_APLD_CD IS NULL) THEN 1 ELSE 0 END) AS CLM_LINE_OTHR_APLD_CD,</v>
      </c>
      <c r="J156" s="28" t="s">
        <v>661</v>
      </c>
      <c r="K156" s="46" t="s">
        <v>861</v>
      </c>
      <c r="L156" s="46">
        <v>0</v>
      </c>
      <c r="M156" s="46">
        <v>947459366</v>
      </c>
      <c r="N156" s="47">
        <f xml:space="preserve"> 1 -O156</f>
        <v>1</v>
      </c>
      <c r="O156" s="48">
        <f>L156/M156</f>
        <v>0</v>
      </c>
      <c r="P156" s="28" t="s">
        <v>661</v>
      </c>
      <c r="Q156" s="48"/>
      <c r="R156" s="48"/>
      <c r="S156" s="54"/>
      <c r="T156" s="48"/>
      <c r="U156" s="48"/>
      <c r="V156" s="43" t="s">
        <v>661</v>
      </c>
      <c r="W156" s="46" t="s">
        <v>861</v>
      </c>
      <c r="X156" s="46" t="s">
        <v>861</v>
      </c>
      <c r="Y156" s="46">
        <v>0</v>
      </c>
      <c r="Z156" s="46">
        <v>0</v>
      </c>
      <c r="AA156" s="46">
        <v>29250</v>
      </c>
      <c r="AB156" s="46">
        <v>33482926</v>
      </c>
      <c r="AC156" s="47">
        <f>1 - AD156</f>
        <v>1</v>
      </c>
      <c r="AD156" s="47">
        <f>Y156/AA156</f>
        <v>0</v>
      </c>
      <c r="AE156" s="47">
        <f>1 - AF156</f>
        <v>1</v>
      </c>
      <c r="AF156" s="47">
        <f>Z156/AB156</f>
        <v>0</v>
      </c>
    </row>
    <row r="157" spans="1:32" ht="138" x14ac:dyDescent="0.3">
      <c r="A157" s="34">
        <v>204</v>
      </c>
      <c r="B157" s="28" t="s">
        <v>668</v>
      </c>
      <c r="C157" s="28" t="s">
        <v>669</v>
      </c>
      <c r="D157" s="28" t="s">
        <v>670</v>
      </c>
      <c r="E157" s="28" t="s">
        <v>660</v>
      </c>
      <c r="F157" s="28" t="s">
        <v>661</v>
      </c>
      <c r="G157" s="28" t="s">
        <v>860</v>
      </c>
      <c r="H157" s="44" t="s">
        <v>15</v>
      </c>
      <c r="I157" s="45" t="str">
        <f>CONCATENATE("SUM(CASE WHEN (MCS.",F157," IN (' ', '~') OR MCS.",F157, " IS NULL) THEN 1 ELSE 0 END) AS ",F157,",")</f>
        <v>SUM(CASE WHEN (MCS.CLM_LINE_OTHR_APLD_CD IN (' ', '~') OR MCS.CLM_LINE_OTHR_APLD_CD IS NULL) THEN 1 ELSE 0 END) AS CLM_LINE_OTHR_APLD_CD,</v>
      </c>
      <c r="J157" s="28" t="s">
        <v>661</v>
      </c>
      <c r="K157" s="46" t="s">
        <v>861</v>
      </c>
      <c r="L157" s="46">
        <v>0</v>
      </c>
      <c r="M157" s="46">
        <v>947459366</v>
      </c>
      <c r="N157" s="47">
        <f xml:space="preserve"> 1 -O157</f>
        <v>1</v>
      </c>
      <c r="O157" s="48">
        <f>L157/M157</f>
        <v>0</v>
      </c>
      <c r="P157" s="28" t="s">
        <v>661</v>
      </c>
      <c r="Q157" s="48"/>
      <c r="R157" s="48"/>
      <c r="S157" s="54"/>
      <c r="T157" s="48"/>
      <c r="U157" s="48"/>
      <c r="V157" s="43" t="s">
        <v>661</v>
      </c>
      <c r="W157" s="46" t="s">
        <v>861</v>
      </c>
      <c r="X157" s="46" t="s">
        <v>861</v>
      </c>
      <c r="Y157" s="46">
        <v>0</v>
      </c>
      <c r="Z157" s="46">
        <v>0</v>
      </c>
      <c r="AA157" s="46">
        <v>29250</v>
      </c>
      <c r="AB157" s="46">
        <v>33482926</v>
      </c>
      <c r="AC157" s="47">
        <f>1 - AD157</f>
        <v>1</v>
      </c>
      <c r="AD157" s="47">
        <f>Y157/AA157</f>
        <v>0</v>
      </c>
      <c r="AE157" s="47">
        <f>1 - AF157</f>
        <v>1</v>
      </c>
      <c r="AF157" s="47">
        <f>Z157/AB157</f>
        <v>0</v>
      </c>
    </row>
    <row r="158" spans="1:32" ht="138" x14ac:dyDescent="0.3">
      <c r="A158" s="34">
        <v>205</v>
      </c>
      <c r="B158" s="28" t="s">
        <v>671</v>
      </c>
      <c r="C158" s="28" t="s">
        <v>672</v>
      </c>
      <c r="D158" s="28" t="s">
        <v>673</v>
      </c>
      <c r="E158" s="28" t="s">
        <v>660</v>
      </c>
      <c r="F158" s="28" t="s">
        <v>661</v>
      </c>
      <c r="G158" s="28" t="s">
        <v>860</v>
      </c>
      <c r="H158" s="44" t="s">
        <v>15</v>
      </c>
      <c r="I158" s="45" t="str">
        <f>CONCATENATE("SUM(CASE WHEN (MCS.",F158," IN (' ', '~') OR MCS.",F158, " IS NULL) THEN 1 ELSE 0 END) AS ",F158,",")</f>
        <v>SUM(CASE WHEN (MCS.CLM_LINE_OTHR_APLD_CD IN (' ', '~') OR MCS.CLM_LINE_OTHR_APLD_CD IS NULL) THEN 1 ELSE 0 END) AS CLM_LINE_OTHR_APLD_CD,</v>
      </c>
      <c r="J158" s="28" t="s">
        <v>661</v>
      </c>
      <c r="K158" s="46" t="s">
        <v>861</v>
      </c>
      <c r="L158" s="46">
        <v>0</v>
      </c>
      <c r="M158" s="46">
        <v>947459366</v>
      </c>
      <c r="N158" s="47">
        <f xml:space="preserve"> 1 -O158</f>
        <v>1</v>
      </c>
      <c r="O158" s="48">
        <f>L158/M158</f>
        <v>0</v>
      </c>
      <c r="P158" s="28" t="s">
        <v>661</v>
      </c>
      <c r="Q158" s="48"/>
      <c r="R158" s="48"/>
      <c r="S158" s="54"/>
      <c r="T158" s="48"/>
      <c r="U158" s="48"/>
      <c r="V158" s="43" t="s">
        <v>661</v>
      </c>
      <c r="W158" s="46" t="s">
        <v>861</v>
      </c>
      <c r="X158" s="46" t="s">
        <v>861</v>
      </c>
      <c r="Y158" s="46">
        <v>0</v>
      </c>
      <c r="Z158" s="46">
        <v>0</v>
      </c>
      <c r="AA158" s="46">
        <v>29250</v>
      </c>
      <c r="AB158" s="46">
        <v>33482926</v>
      </c>
      <c r="AC158" s="47">
        <f>1 - AD158</f>
        <v>1</v>
      </c>
      <c r="AD158" s="47">
        <f>Y158/AA158</f>
        <v>0</v>
      </c>
      <c r="AE158" s="47">
        <f>1 - AF158</f>
        <v>1</v>
      </c>
      <c r="AF158" s="47">
        <f>Z158/AB158</f>
        <v>0</v>
      </c>
    </row>
    <row r="159" spans="1:32" ht="138" x14ac:dyDescent="0.3">
      <c r="A159" s="34">
        <v>206</v>
      </c>
      <c r="B159" s="28" t="s">
        <v>674</v>
      </c>
      <c r="C159" s="28" t="s">
        <v>675</v>
      </c>
      <c r="D159" s="28" t="s">
        <v>676</v>
      </c>
      <c r="E159" s="28" t="s">
        <v>660</v>
      </c>
      <c r="F159" s="28" t="s">
        <v>661</v>
      </c>
      <c r="G159" s="28" t="s">
        <v>860</v>
      </c>
      <c r="H159" s="44" t="s">
        <v>15</v>
      </c>
      <c r="I159" s="45" t="str">
        <f>CONCATENATE("SUM(CASE WHEN (MCS.",F159," IN (' ', '~') OR MCS.",F159, " IS NULL) THEN 1 ELSE 0 END) AS ",F159,",")</f>
        <v>SUM(CASE WHEN (MCS.CLM_LINE_OTHR_APLD_CD IN (' ', '~') OR MCS.CLM_LINE_OTHR_APLD_CD IS NULL) THEN 1 ELSE 0 END) AS CLM_LINE_OTHR_APLD_CD,</v>
      </c>
      <c r="J159" s="28" t="s">
        <v>661</v>
      </c>
      <c r="K159" s="46" t="s">
        <v>861</v>
      </c>
      <c r="L159" s="46">
        <v>0</v>
      </c>
      <c r="M159" s="46">
        <v>947459366</v>
      </c>
      <c r="N159" s="47">
        <f xml:space="preserve"> 1 -O159</f>
        <v>1</v>
      </c>
      <c r="O159" s="48">
        <f>L159/M159</f>
        <v>0</v>
      </c>
      <c r="P159" s="28" t="s">
        <v>661</v>
      </c>
      <c r="Q159" s="48"/>
      <c r="R159" s="48"/>
      <c r="S159" s="54"/>
      <c r="T159" s="48"/>
      <c r="U159" s="48"/>
      <c r="V159" s="43" t="s">
        <v>661</v>
      </c>
      <c r="W159" s="46" t="s">
        <v>861</v>
      </c>
      <c r="X159" s="46" t="s">
        <v>861</v>
      </c>
      <c r="Y159" s="46">
        <v>0</v>
      </c>
      <c r="Z159" s="46">
        <v>0</v>
      </c>
      <c r="AA159" s="46">
        <v>29250</v>
      </c>
      <c r="AB159" s="46">
        <v>33482926</v>
      </c>
      <c r="AC159" s="47">
        <f>1 - AD159</f>
        <v>1</v>
      </c>
      <c r="AD159" s="47">
        <f>Y159/AA159</f>
        <v>0</v>
      </c>
      <c r="AE159" s="47">
        <f>1 - AF159</f>
        <v>1</v>
      </c>
      <c r="AF159" s="47">
        <f>Z159/AB159</f>
        <v>0</v>
      </c>
    </row>
    <row r="160" spans="1:32" ht="138" x14ac:dyDescent="0.3">
      <c r="A160" s="34">
        <v>207</v>
      </c>
      <c r="B160" s="28" t="s">
        <v>677</v>
      </c>
      <c r="C160" s="28" t="s">
        <v>678</v>
      </c>
      <c r="D160" s="28" t="s">
        <v>679</v>
      </c>
      <c r="E160" s="28" t="s">
        <v>660</v>
      </c>
      <c r="F160" s="28" t="s">
        <v>661</v>
      </c>
      <c r="G160" s="28" t="s">
        <v>860</v>
      </c>
      <c r="H160" s="44" t="s">
        <v>15</v>
      </c>
      <c r="I160" s="45" t="str">
        <f>CONCATENATE("SUM(CASE WHEN (MCS.",F160," IN (' ', '~') OR MCS.",F160, " IS NULL) THEN 1 ELSE 0 END) AS ",F160,",")</f>
        <v>SUM(CASE WHEN (MCS.CLM_LINE_OTHR_APLD_CD IN (' ', '~') OR MCS.CLM_LINE_OTHR_APLD_CD IS NULL) THEN 1 ELSE 0 END) AS CLM_LINE_OTHR_APLD_CD,</v>
      </c>
      <c r="J160" s="28" t="s">
        <v>661</v>
      </c>
      <c r="K160" s="46" t="s">
        <v>861</v>
      </c>
      <c r="L160" s="46">
        <v>0</v>
      </c>
      <c r="M160" s="46">
        <v>947459366</v>
      </c>
      <c r="N160" s="47">
        <f xml:space="preserve"> 1 -O160</f>
        <v>1</v>
      </c>
      <c r="O160" s="48">
        <f>L160/M160</f>
        <v>0</v>
      </c>
      <c r="P160" s="28" t="s">
        <v>661</v>
      </c>
      <c r="Q160" s="48"/>
      <c r="R160" s="48"/>
      <c r="S160" s="54"/>
      <c r="T160" s="48"/>
      <c r="U160" s="48"/>
      <c r="V160" s="43" t="s">
        <v>661</v>
      </c>
      <c r="W160" s="46" t="s">
        <v>861</v>
      </c>
      <c r="X160" s="46" t="s">
        <v>861</v>
      </c>
      <c r="Y160" s="46">
        <v>0</v>
      </c>
      <c r="Z160" s="46">
        <v>0</v>
      </c>
      <c r="AA160" s="46">
        <v>29250</v>
      </c>
      <c r="AB160" s="46">
        <v>33482926</v>
      </c>
      <c r="AC160" s="47">
        <f>1 - AD160</f>
        <v>1</v>
      </c>
      <c r="AD160" s="47">
        <f>Y160/AA160</f>
        <v>0</v>
      </c>
      <c r="AE160" s="47">
        <f>1 - AF160</f>
        <v>1</v>
      </c>
      <c r="AF160" s="47">
        <f>Z160/AB160</f>
        <v>0</v>
      </c>
    </row>
    <row r="161" spans="1:32" ht="138" x14ac:dyDescent="0.3">
      <c r="A161" s="34">
        <v>208</v>
      </c>
      <c r="B161" s="28" t="s">
        <v>680</v>
      </c>
      <c r="C161" s="28" t="s">
        <v>681</v>
      </c>
      <c r="D161" s="28" t="s">
        <v>659</v>
      </c>
      <c r="E161" s="28" t="s">
        <v>660</v>
      </c>
      <c r="F161" s="28" t="s">
        <v>682</v>
      </c>
      <c r="G161" s="28" t="s">
        <v>860</v>
      </c>
      <c r="H161" s="44" t="s">
        <v>15</v>
      </c>
      <c r="I161" s="45" t="str">
        <f>CONCATENATE("SUM(CASE WHEN (MCS.",F161, " IS NULL) THEN 1 ELSE 0 END) AS ",F161,",")</f>
        <v>SUM(CASE WHEN (MCS.CLM_LINE_OTHR_APLD_AMT IS NULL) THEN 1 ELSE 0 END) AS CLM_LINE_OTHR_APLD_AMT,</v>
      </c>
      <c r="J161" s="28" t="s">
        <v>682</v>
      </c>
      <c r="K161" s="46" t="s">
        <v>861</v>
      </c>
      <c r="L161" s="46">
        <v>0</v>
      </c>
      <c r="M161" s="46">
        <v>947459366</v>
      </c>
      <c r="N161" s="47">
        <f xml:space="preserve"> 1 -O161</f>
        <v>1</v>
      </c>
      <c r="O161" s="48">
        <f>L161/M161</f>
        <v>0</v>
      </c>
      <c r="P161" s="28" t="s">
        <v>682</v>
      </c>
      <c r="Q161" s="48"/>
      <c r="R161" s="48"/>
      <c r="S161" s="54"/>
      <c r="T161" s="48"/>
      <c r="U161" s="48"/>
      <c r="V161" s="43" t="s">
        <v>682</v>
      </c>
      <c r="W161" s="46" t="s">
        <v>861</v>
      </c>
      <c r="X161" s="46" t="s">
        <v>861</v>
      </c>
      <c r="Y161" s="46">
        <v>0</v>
      </c>
      <c r="Z161" s="46">
        <v>0</v>
      </c>
      <c r="AA161" s="46">
        <v>29250</v>
      </c>
      <c r="AB161" s="46">
        <v>33482926</v>
      </c>
      <c r="AC161" s="47">
        <f>1 - AD161</f>
        <v>1</v>
      </c>
      <c r="AD161" s="47">
        <f>Y161/AA161</f>
        <v>0</v>
      </c>
      <c r="AE161" s="47">
        <f>1 - AF161</f>
        <v>1</v>
      </c>
      <c r="AF161" s="47">
        <f>Z161/AB161</f>
        <v>0</v>
      </c>
    </row>
    <row r="162" spans="1:32" ht="138" x14ac:dyDescent="0.3">
      <c r="A162" s="34">
        <v>209</v>
      </c>
      <c r="B162" s="28" t="s">
        <v>683</v>
      </c>
      <c r="C162" s="28" t="s">
        <v>684</v>
      </c>
      <c r="D162" s="28" t="s">
        <v>664</v>
      </c>
      <c r="E162" s="28" t="s">
        <v>660</v>
      </c>
      <c r="F162" s="28" t="s">
        <v>682</v>
      </c>
      <c r="G162" s="28" t="s">
        <v>860</v>
      </c>
      <c r="H162" s="44" t="s">
        <v>15</v>
      </c>
      <c r="I162" s="45" t="str">
        <f>CONCATENATE("SUM(CASE WHEN (MCS.",F162, " IS NULL) THEN 1 ELSE 0 END) AS ",F162,",")</f>
        <v>SUM(CASE WHEN (MCS.CLM_LINE_OTHR_APLD_AMT IS NULL) THEN 1 ELSE 0 END) AS CLM_LINE_OTHR_APLD_AMT,</v>
      </c>
      <c r="J162" s="28" t="s">
        <v>682</v>
      </c>
      <c r="K162" s="46" t="s">
        <v>861</v>
      </c>
      <c r="L162" s="46">
        <v>0</v>
      </c>
      <c r="M162" s="46">
        <v>947459366</v>
      </c>
      <c r="N162" s="47">
        <f xml:space="preserve"> 1 -O162</f>
        <v>1</v>
      </c>
      <c r="O162" s="48">
        <f>L162/M162</f>
        <v>0</v>
      </c>
      <c r="P162" s="28" t="s">
        <v>682</v>
      </c>
      <c r="Q162" s="48"/>
      <c r="R162" s="48"/>
      <c r="S162" s="54"/>
      <c r="T162" s="48"/>
      <c r="U162" s="48"/>
      <c r="V162" s="43" t="s">
        <v>682</v>
      </c>
      <c r="W162" s="46" t="s">
        <v>861</v>
      </c>
      <c r="X162" s="46" t="s">
        <v>861</v>
      </c>
      <c r="Y162" s="46">
        <v>0</v>
      </c>
      <c r="Z162" s="46">
        <v>0</v>
      </c>
      <c r="AA162" s="46">
        <v>29250</v>
      </c>
      <c r="AB162" s="46">
        <v>33482926</v>
      </c>
      <c r="AC162" s="47">
        <f>1 - AD162</f>
        <v>1</v>
      </c>
      <c r="AD162" s="47">
        <f>Y162/AA162</f>
        <v>0</v>
      </c>
      <c r="AE162" s="47">
        <f>1 - AF162</f>
        <v>1</v>
      </c>
      <c r="AF162" s="47">
        <f>Z162/AB162</f>
        <v>0</v>
      </c>
    </row>
    <row r="163" spans="1:32" ht="138" x14ac:dyDescent="0.3">
      <c r="A163" s="34">
        <v>210</v>
      </c>
      <c r="B163" s="28" t="s">
        <v>685</v>
      </c>
      <c r="C163" s="28" t="s">
        <v>686</v>
      </c>
      <c r="D163" s="28" t="s">
        <v>667</v>
      </c>
      <c r="E163" s="28" t="s">
        <v>660</v>
      </c>
      <c r="F163" s="28" t="s">
        <v>682</v>
      </c>
      <c r="G163" s="28" t="s">
        <v>860</v>
      </c>
      <c r="H163" s="44" t="s">
        <v>15</v>
      </c>
      <c r="I163" s="45" t="str">
        <f>CONCATENATE("SUM(CASE WHEN (MCS.",F163, " IS NULL) THEN 1 ELSE 0 END) AS ",F163,",")</f>
        <v>SUM(CASE WHEN (MCS.CLM_LINE_OTHR_APLD_AMT IS NULL) THEN 1 ELSE 0 END) AS CLM_LINE_OTHR_APLD_AMT,</v>
      </c>
      <c r="J163" s="28" t="s">
        <v>682</v>
      </c>
      <c r="K163" s="46" t="s">
        <v>861</v>
      </c>
      <c r="L163" s="46">
        <v>0</v>
      </c>
      <c r="M163" s="46">
        <v>947459366</v>
      </c>
      <c r="N163" s="47">
        <f xml:space="preserve"> 1 -O163</f>
        <v>1</v>
      </c>
      <c r="O163" s="48">
        <f>L163/M163</f>
        <v>0</v>
      </c>
      <c r="P163" s="28" t="s">
        <v>682</v>
      </c>
      <c r="Q163" s="48"/>
      <c r="R163" s="48"/>
      <c r="S163" s="54"/>
      <c r="T163" s="48"/>
      <c r="U163" s="48"/>
      <c r="V163" s="43" t="s">
        <v>682</v>
      </c>
      <c r="W163" s="46" t="s">
        <v>861</v>
      </c>
      <c r="X163" s="46" t="s">
        <v>861</v>
      </c>
      <c r="Y163" s="46">
        <v>0</v>
      </c>
      <c r="Z163" s="46">
        <v>0</v>
      </c>
      <c r="AA163" s="46">
        <v>29250</v>
      </c>
      <c r="AB163" s="46">
        <v>33482926</v>
      </c>
      <c r="AC163" s="47">
        <f>1 - AD163</f>
        <v>1</v>
      </c>
      <c r="AD163" s="47">
        <f>Y163/AA163</f>
        <v>0</v>
      </c>
      <c r="AE163" s="47">
        <f>1 - AF163</f>
        <v>1</v>
      </c>
      <c r="AF163" s="47">
        <f>Z163/AB163</f>
        <v>0</v>
      </c>
    </row>
    <row r="164" spans="1:32" ht="138" x14ac:dyDescent="0.3">
      <c r="A164" s="34">
        <v>211</v>
      </c>
      <c r="B164" s="28" t="s">
        <v>687</v>
      </c>
      <c r="C164" s="28" t="s">
        <v>688</v>
      </c>
      <c r="D164" s="28" t="s">
        <v>670</v>
      </c>
      <c r="E164" s="28" t="s">
        <v>660</v>
      </c>
      <c r="F164" s="28" t="s">
        <v>682</v>
      </c>
      <c r="G164" s="28" t="s">
        <v>860</v>
      </c>
      <c r="H164" s="44" t="s">
        <v>15</v>
      </c>
      <c r="I164" s="45" t="str">
        <f>CONCATENATE("SUM(CASE WHEN (MCS.",F164, " IS NULL) THEN 1 ELSE 0 END) AS ",F164,",")</f>
        <v>SUM(CASE WHEN (MCS.CLM_LINE_OTHR_APLD_AMT IS NULL) THEN 1 ELSE 0 END) AS CLM_LINE_OTHR_APLD_AMT,</v>
      </c>
      <c r="J164" s="28" t="s">
        <v>682</v>
      </c>
      <c r="K164" s="46" t="s">
        <v>861</v>
      </c>
      <c r="L164" s="46">
        <v>0</v>
      </c>
      <c r="M164" s="46">
        <v>947459366</v>
      </c>
      <c r="N164" s="47">
        <f xml:space="preserve"> 1 -O164</f>
        <v>1</v>
      </c>
      <c r="O164" s="48">
        <f>L164/M164</f>
        <v>0</v>
      </c>
      <c r="P164" s="28" t="s">
        <v>682</v>
      </c>
      <c r="Q164" s="48"/>
      <c r="R164" s="48"/>
      <c r="S164" s="54"/>
      <c r="T164" s="48"/>
      <c r="U164" s="48"/>
      <c r="V164" s="43" t="s">
        <v>682</v>
      </c>
      <c r="W164" s="46" t="s">
        <v>861</v>
      </c>
      <c r="X164" s="46" t="s">
        <v>861</v>
      </c>
      <c r="Y164" s="46">
        <v>0</v>
      </c>
      <c r="Z164" s="46">
        <v>0</v>
      </c>
      <c r="AA164" s="46">
        <v>29250</v>
      </c>
      <c r="AB164" s="46">
        <v>33482926</v>
      </c>
      <c r="AC164" s="47">
        <f>1 - AD164</f>
        <v>1</v>
      </c>
      <c r="AD164" s="47">
        <f>Y164/AA164</f>
        <v>0</v>
      </c>
      <c r="AE164" s="47">
        <f>1 - AF164</f>
        <v>1</v>
      </c>
      <c r="AF164" s="47">
        <f>Z164/AB164</f>
        <v>0</v>
      </c>
    </row>
    <row r="165" spans="1:32" ht="138" x14ac:dyDescent="0.3">
      <c r="A165" s="34">
        <v>212</v>
      </c>
      <c r="B165" s="28" t="s">
        <v>689</v>
      </c>
      <c r="C165" s="28" t="s">
        <v>690</v>
      </c>
      <c r="D165" s="28" t="s">
        <v>673</v>
      </c>
      <c r="E165" s="28" t="s">
        <v>660</v>
      </c>
      <c r="F165" s="28" t="s">
        <v>682</v>
      </c>
      <c r="G165" s="28" t="s">
        <v>860</v>
      </c>
      <c r="H165" s="44" t="s">
        <v>15</v>
      </c>
      <c r="I165" s="45" t="str">
        <f>CONCATENATE("SUM(CASE WHEN (MCS.",F165, " IS NULL) THEN 1 ELSE 0 END) AS ",F165,",")</f>
        <v>SUM(CASE WHEN (MCS.CLM_LINE_OTHR_APLD_AMT IS NULL) THEN 1 ELSE 0 END) AS CLM_LINE_OTHR_APLD_AMT,</v>
      </c>
      <c r="J165" s="28" t="s">
        <v>682</v>
      </c>
      <c r="K165" s="46" t="s">
        <v>861</v>
      </c>
      <c r="L165" s="46">
        <v>0</v>
      </c>
      <c r="M165" s="46">
        <v>947459366</v>
      </c>
      <c r="N165" s="47">
        <f xml:space="preserve"> 1 -O165</f>
        <v>1</v>
      </c>
      <c r="O165" s="48">
        <f>L165/M165</f>
        <v>0</v>
      </c>
      <c r="P165" s="28" t="s">
        <v>682</v>
      </c>
      <c r="Q165" s="48"/>
      <c r="R165" s="48"/>
      <c r="S165" s="54"/>
      <c r="T165" s="48"/>
      <c r="U165" s="48"/>
      <c r="V165" s="43" t="s">
        <v>682</v>
      </c>
      <c r="W165" s="46" t="s">
        <v>861</v>
      </c>
      <c r="X165" s="46" t="s">
        <v>861</v>
      </c>
      <c r="Y165" s="46">
        <v>0</v>
      </c>
      <c r="Z165" s="46">
        <v>0</v>
      </c>
      <c r="AA165" s="46">
        <v>29250</v>
      </c>
      <c r="AB165" s="46">
        <v>33482926</v>
      </c>
      <c r="AC165" s="47">
        <f>1 - AD165</f>
        <v>1</v>
      </c>
      <c r="AD165" s="47">
        <f>Y165/AA165</f>
        <v>0</v>
      </c>
      <c r="AE165" s="47">
        <f>1 - AF165</f>
        <v>1</v>
      </c>
      <c r="AF165" s="47">
        <f>Z165/AB165</f>
        <v>0</v>
      </c>
    </row>
    <row r="166" spans="1:32" ht="138" x14ac:dyDescent="0.3">
      <c r="A166" s="34">
        <v>213</v>
      </c>
      <c r="B166" s="28" t="s">
        <v>691</v>
      </c>
      <c r="C166" s="28" t="s">
        <v>692</v>
      </c>
      <c r="D166" s="28" t="s">
        <v>676</v>
      </c>
      <c r="E166" s="28" t="s">
        <v>660</v>
      </c>
      <c r="F166" s="28" t="s">
        <v>682</v>
      </c>
      <c r="G166" s="28" t="s">
        <v>860</v>
      </c>
      <c r="H166" s="44" t="s">
        <v>15</v>
      </c>
      <c r="I166" s="45" t="str">
        <f>CONCATENATE("SUM(CASE WHEN (MCS.",F166, " IS NULL) THEN 1 ELSE 0 END) AS ",F166,",")</f>
        <v>SUM(CASE WHEN (MCS.CLM_LINE_OTHR_APLD_AMT IS NULL) THEN 1 ELSE 0 END) AS CLM_LINE_OTHR_APLD_AMT,</v>
      </c>
      <c r="J166" s="28" t="s">
        <v>682</v>
      </c>
      <c r="K166" s="46" t="s">
        <v>861</v>
      </c>
      <c r="L166" s="46">
        <v>0</v>
      </c>
      <c r="M166" s="46">
        <v>947459366</v>
      </c>
      <c r="N166" s="47">
        <f xml:space="preserve"> 1 -O166</f>
        <v>1</v>
      </c>
      <c r="O166" s="48">
        <f>L166/M166</f>
        <v>0</v>
      </c>
      <c r="P166" s="28" t="s">
        <v>682</v>
      </c>
      <c r="Q166" s="48"/>
      <c r="R166" s="48"/>
      <c r="S166" s="54"/>
      <c r="T166" s="48"/>
      <c r="U166" s="48"/>
      <c r="V166" s="43" t="s">
        <v>682</v>
      </c>
      <c r="W166" s="46" t="s">
        <v>861</v>
      </c>
      <c r="X166" s="46" t="s">
        <v>861</v>
      </c>
      <c r="Y166" s="46">
        <v>0</v>
      </c>
      <c r="Z166" s="46">
        <v>0</v>
      </c>
      <c r="AA166" s="46">
        <v>29250</v>
      </c>
      <c r="AB166" s="46">
        <v>33482926</v>
      </c>
      <c r="AC166" s="47">
        <f>1 - AD166</f>
        <v>1</v>
      </c>
      <c r="AD166" s="47">
        <f>Y166/AA166</f>
        <v>0</v>
      </c>
      <c r="AE166" s="47">
        <f>1 - AF166</f>
        <v>1</v>
      </c>
      <c r="AF166" s="47">
        <f>Z166/AB166</f>
        <v>0</v>
      </c>
    </row>
    <row r="167" spans="1:32" ht="138" x14ac:dyDescent="0.3">
      <c r="A167" s="34">
        <v>214</v>
      </c>
      <c r="B167" s="28" t="s">
        <v>693</v>
      </c>
      <c r="C167" s="28" t="s">
        <v>694</v>
      </c>
      <c r="D167" s="28" t="s">
        <v>679</v>
      </c>
      <c r="E167" s="28" t="s">
        <v>660</v>
      </c>
      <c r="F167" s="28" t="s">
        <v>682</v>
      </c>
      <c r="G167" s="28" t="s">
        <v>860</v>
      </c>
      <c r="H167" s="44" t="s">
        <v>15</v>
      </c>
      <c r="I167" s="45" t="str">
        <f>CONCATENATE("SUM(CASE WHEN (MCS.",F167, " IS NULL) THEN 1 ELSE 0 END) AS ",F167,",")</f>
        <v>SUM(CASE WHEN (MCS.CLM_LINE_OTHR_APLD_AMT IS NULL) THEN 1 ELSE 0 END) AS CLM_LINE_OTHR_APLD_AMT,</v>
      </c>
      <c r="J167" s="28" t="s">
        <v>682</v>
      </c>
      <c r="K167" s="46" t="s">
        <v>861</v>
      </c>
      <c r="L167" s="46">
        <v>0</v>
      </c>
      <c r="M167" s="46">
        <v>947459366</v>
      </c>
      <c r="N167" s="47">
        <f xml:space="preserve"> 1 -O167</f>
        <v>1</v>
      </c>
      <c r="O167" s="48">
        <f>L167/M167</f>
        <v>0</v>
      </c>
      <c r="P167" s="28" t="s">
        <v>682</v>
      </c>
      <c r="Q167" s="48"/>
      <c r="R167" s="48"/>
      <c r="S167" s="54"/>
      <c r="T167" s="48"/>
      <c r="U167" s="48"/>
      <c r="V167" s="43" t="s">
        <v>682</v>
      </c>
      <c r="W167" s="46" t="s">
        <v>861</v>
      </c>
      <c r="X167" s="46" t="s">
        <v>861</v>
      </c>
      <c r="Y167" s="46">
        <v>0</v>
      </c>
      <c r="Z167" s="46">
        <v>0</v>
      </c>
      <c r="AA167" s="46">
        <v>29250</v>
      </c>
      <c r="AB167" s="46">
        <v>33482926</v>
      </c>
      <c r="AC167" s="47">
        <f>1 - AD167</f>
        <v>1</v>
      </c>
      <c r="AD167" s="47">
        <f>Y167/AA167</f>
        <v>0</v>
      </c>
      <c r="AE167" s="47">
        <f>1 - AF167</f>
        <v>1</v>
      </c>
      <c r="AF167" s="47">
        <f>Z167/AB167</f>
        <v>0</v>
      </c>
    </row>
    <row r="168" spans="1:32" ht="96.6" x14ac:dyDescent="0.3">
      <c r="A168" s="34">
        <v>150</v>
      </c>
      <c r="B168" s="28" t="s">
        <v>490</v>
      </c>
      <c r="C168" s="28" t="s">
        <v>491</v>
      </c>
      <c r="D168" s="28" t="s">
        <v>24</v>
      </c>
      <c r="E168" s="28" t="s">
        <v>57</v>
      </c>
      <c r="F168" s="43" t="s">
        <v>492</v>
      </c>
      <c r="G168" s="44" t="s">
        <v>15</v>
      </c>
      <c r="H168" s="44" t="s">
        <v>15</v>
      </c>
      <c r="I168" s="45" t="str">
        <f>CONCATENATE("SUM(CASE WHEN (MCS.",F168," IN (' ', '~') OR MCS.",F168, " IS NULL) THEN 1 ELSE 0 END) AS ",F168,",")</f>
        <v>SUM(CASE WHEN (MCS.CLM_LINE_NDC_CD IN (' ', '~') OR MCS.CLM_LINE_NDC_CD IS NULL) THEN 1 ELSE 0 END) AS CLM_LINE_NDC_CD,</v>
      </c>
      <c r="J168" s="43" t="s">
        <v>492</v>
      </c>
      <c r="K168" s="46" t="s">
        <v>861</v>
      </c>
      <c r="L168" s="46">
        <v>0</v>
      </c>
      <c r="M168" s="46">
        <v>135351338</v>
      </c>
      <c r="N168" s="47">
        <f xml:space="preserve"> 1 -O168</f>
        <v>1</v>
      </c>
      <c r="O168" s="48">
        <f>L168/M168</f>
        <v>0</v>
      </c>
      <c r="P168" s="43" t="s">
        <v>492</v>
      </c>
      <c r="Q168" s="48"/>
      <c r="R168" s="48"/>
      <c r="S168" s="54"/>
      <c r="T168" s="48"/>
      <c r="U168" s="48"/>
      <c r="V168" s="43" t="s">
        <v>492</v>
      </c>
      <c r="W168" s="46" t="s">
        <v>861</v>
      </c>
      <c r="X168" s="46" t="s">
        <v>861</v>
      </c>
      <c r="Y168" s="46">
        <v>0</v>
      </c>
      <c r="Z168" s="46">
        <v>0</v>
      </c>
      <c r="AA168" s="46">
        <v>191518</v>
      </c>
      <c r="AB168" s="46">
        <v>146028028</v>
      </c>
      <c r="AC168" s="47">
        <f>1 - AD168</f>
        <v>1</v>
      </c>
      <c r="AD168" s="47">
        <f>Y168/AA168</f>
        <v>0</v>
      </c>
      <c r="AE168" s="47">
        <f>1 - AF168</f>
        <v>1</v>
      </c>
      <c r="AF168" s="47">
        <f>Z168/AB168</f>
        <v>0</v>
      </c>
    </row>
    <row r="169" spans="1:32" ht="124.2" x14ac:dyDescent="0.3">
      <c r="A169" s="34">
        <v>236</v>
      </c>
      <c r="B169" s="28" t="s">
        <v>772</v>
      </c>
      <c r="C169" s="28" t="s">
        <v>773</v>
      </c>
      <c r="D169" s="28" t="s">
        <v>24</v>
      </c>
      <c r="E169" s="28" t="s">
        <v>57</v>
      </c>
      <c r="F169" s="28" t="s">
        <v>774</v>
      </c>
      <c r="G169" s="28" t="s">
        <v>894</v>
      </c>
      <c r="H169" s="44" t="s">
        <v>15</v>
      </c>
      <c r="I169" s="45" t="str">
        <f>CONCATENATE("SUM(CASE WHEN (MCS.",F169," IN (' ', '~') OR MCS.",F169, " IS NULL) THEN 1 ELSE 0 END) AS ",F169,",")</f>
        <v>SUM(CASE WHEN (MCS.CLM_LINE_MDPP_NPI_NUM IN (' ', '~') OR MCS.CLM_LINE_MDPP_NPI_NUM IS NULL) THEN 1 ELSE 0 END) AS CLM_LINE_MDPP_NPI_NUM,</v>
      </c>
      <c r="J169" s="28" t="s">
        <v>774</v>
      </c>
      <c r="K169" s="46" t="s">
        <v>861</v>
      </c>
      <c r="L169" s="46">
        <v>135349911</v>
      </c>
      <c r="M169" s="46">
        <v>135351338</v>
      </c>
      <c r="N169" s="47">
        <f xml:space="preserve"> 1 -O169</f>
        <v>1.0542932349921763E-5</v>
      </c>
      <c r="O169" s="48">
        <f>L169/M169</f>
        <v>0.99998945706765008</v>
      </c>
      <c r="P169" s="28" t="s">
        <v>774</v>
      </c>
      <c r="Q169" s="48"/>
      <c r="R169" s="48"/>
      <c r="S169" s="54"/>
      <c r="T169" s="48"/>
      <c r="U169" s="48"/>
      <c r="V169" s="43" t="s">
        <v>774</v>
      </c>
      <c r="W169" s="46" t="s">
        <v>861</v>
      </c>
      <c r="X169" s="46" t="s">
        <v>861</v>
      </c>
      <c r="Y169" s="46">
        <v>43095</v>
      </c>
      <c r="Z169" s="46">
        <v>135927549</v>
      </c>
      <c r="AA169" s="46">
        <v>191518</v>
      </c>
      <c r="AB169" s="46">
        <v>146028028</v>
      </c>
      <c r="AC169" s="47">
        <f>1 - AD169</f>
        <v>0.77498198602742296</v>
      </c>
      <c r="AD169" s="47">
        <f>Y169/AA169</f>
        <v>0.22501801397257698</v>
      </c>
      <c r="AE169" s="47">
        <f>1 - AF169</f>
        <v>6.91680846364644E-2</v>
      </c>
      <c r="AF169" s="47">
        <f>Z169/AB169</f>
        <v>0.9308319153635356</v>
      </c>
    </row>
    <row r="170" spans="1:32" ht="82.8" x14ac:dyDescent="0.3">
      <c r="A170" s="34">
        <v>154</v>
      </c>
      <c r="B170" s="28" t="s">
        <v>502</v>
      </c>
      <c r="C170" s="28" t="s">
        <v>503</v>
      </c>
      <c r="D170" s="28" t="s">
        <v>24</v>
      </c>
      <c r="E170" s="28" t="s">
        <v>57</v>
      </c>
      <c r="F170" s="28" t="s">
        <v>504</v>
      </c>
      <c r="G170" s="55" t="s">
        <v>15</v>
      </c>
      <c r="H170" s="44" t="s">
        <v>15</v>
      </c>
      <c r="I170" s="45" t="str">
        <f>CONCATENATE("SUM(CASE WHEN (MCS.",F170, " IS NULL) THEN 1 ELSE 0 END) AS ",F170,",")</f>
        <v>SUM(CASE WHEN (MCS.CLM_LINE_MDCR_DDCTBL_AMT IS NULL) THEN 1 ELSE 0 END) AS CLM_LINE_MDCR_DDCTBL_AMT,</v>
      </c>
      <c r="J170" s="28" t="s">
        <v>504</v>
      </c>
      <c r="K170" s="46" t="s">
        <v>861</v>
      </c>
      <c r="L170" s="46">
        <v>0</v>
      </c>
      <c r="M170" s="46">
        <v>135351338</v>
      </c>
      <c r="N170" s="47">
        <f xml:space="preserve"> 1 -O170</f>
        <v>1</v>
      </c>
      <c r="O170" s="48">
        <f>L170/M170</f>
        <v>0</v>
      </c>
      <c r="P170" s="28" t="s">
        <v>504</v>
      </c>
      <c r="Q170" s="48"/>
      <c r="R170" s="48"/>
      <c r="S170" s="54"/>
      <c r="T170" s="48"/>
      <c r="U170" s="48"/>
      <c r="V170" s="43" t="s">
        <v>504</v>
      </c>
      <c r="W170" s="46" t="s">
        <v>861</v>
      </c>
      <c r="X170" s="46" t="s">
        <v>861</v>
      </c>
      <c r="Y170" s="46">
        <v>0</v>
      </c>
      <c r="Z170" s="46">
        <v>0</v>
      </c>
      <c r="AA170" s="46">
        <v>191518</v>
      </c>
      <c r="AB170" s="46">
        <v>146028028</v>
      </c>
      <c r="AC170" s="47">
        <f>1 - AD170</f>
        <v>1</v>
      </c>
      <c r="AD170" s="47">
        <f>Y170/AA170</f>
        <v>0</v>
      </c>
      <c r="AE170" s="47">
        <f>1 - AF170</f>
        <v>1</v>
      </c>
      <c r="AF170" s="47">
        <f>Z170/AB170</f>
        <v>0</v>
      </c>
    </row>
    <row r="171" spans="1:32" ht="96.6" x14ac:dyDescent="0.3">
      <c r="A171" s="34">
        <v>157</v>
      </c>
      <c r="B171" s="28" t="s">
        <v>511</v>
      </c>
      <c r="C171" s="28" t="s">
        <v>512</v>
      </c>
      <c r="D171" s="28" t="s">
        <v>24</v>
      </c>
      <c r="E171" s="28" t="s">
        <v>57</v>
      </c>
      <c r="F171" s="28" t="s">
        <v>513</v>
      </c>
      <c r="G171" s="44" t="s">
        <v>15</v>
      </c>
      <c r="H171" s="44" t="s">
        <v>15</v>
      </c>
      <c r="I171" s="45" t="str">
        <f>CONCATENATE("SUM(CASE WHEN (MCS.",F171, " IS NULL) THEN 1 ELSE 0 END) AS ",F171,",")</f>
        <v>SUM(CASE WHEN (MCS.CLM_LINE_MDCR_COINSRNC_AMT IS NULL) THEN 1 ELSE 0 END) AS CLM_LINE_MDCR_COINSRNC_AMT,</v>
      </c>
      <c r="J171" s="28" t="s">
        <v>513</v>
      </c>
      <c r="K171" s="46" t="s">
        <v>861</v>
      </c>
      <c r="L171" s="46">
        <v>0</v>
      </c>
      <c r="M171" s="46">
        <v>135351338</v>
      </c>
      <c r="N171" s="47">
        <f xml:space="preserve"> 1 -O171</f>
        <v>1</v>
      </c>
      <c r="O171" s="48">
        <f>L171/M171</f>
        <v>0</v>
      </c>
      <c r="P171" s="28" t="s">
        <v>513</v>
      </c>
      <c r="Q171" s="48"/>
      <c r="R171" s="48"/>
      <c r="S171" s="54"/>
      <c r="T171" s="48"/>
      <c r="U171" s="48"/>
      <c r="V171" s="43" t="s">
        <v>513</v>
      </c>
      <c r="W171" s="46" t="s">
        <v>861</v>
      </c>
      <c r="X171" s="46" t="s">
        <v>861</v>
      </c>
      <c r="Y171" s="46">
        <v>0</v>
      </c>
      <c r="Z171" s="46">
        <v>0</v>
      </c>
      <c r="AA171" s="46">
        <v>191518</v>
      </c>
      <c r="AB171" s="46">
        <v>146028028</v>
      </c>
      <c r="AC171" s="47">
        <f>1 - AD171</f>
        <v>1</v>
      </c>
      <c r="AD171" s="47">
        <f>Y171/AA171</f>
        <v>0</v>
      </c>
      <c r="AE171" s="47">
        <f>1 - AF171</f>
        <v>1</v>
      </c>
      <c r="AF171" s="47">
        <f>Z171/AB171</f>
        <v>0</v>
      </c>
    </row>
    <row r="172" spans="1:32" ht="96.6" x14ac:dyDescent="0.3">
      <c r="A172" s="34">
        <v>149</v>
      </c>
      <c r="B172" s="28" t="s">
        <v>487</v>
      </c>
      <c r="C172" s="28" t="s">
        <v>488</v>
      </c>
      <c r="D172" s="28" t="s">
        <v>24</v>
      </c>
      <c r="E172" s="28" t="s">
        <v>57</v>
      </c>
      <c r="F172" s="43" t="s">
        <v>489</v>
      </c>
      <c r="G172" s="44" t="s">
        <v>15</v>
      </c>
      <c r="H172" s="44" t="s">
        <v>15</v>
      </c>
      <c r="I172" s="45" t="str">
        <f>CONCATENATE("SUM(CASE WHEN (MCS.",F172," IN (' ', '~') OR MCS.",F172, " IS NULL) THEN 1 ELSE 0 END) AS ",F172,",")</f>
        <v>SUM(CASE WHEN (MCS.CLM_LINE_IDE_NUM IN (' ', '~') OR MCS.CLM_LINE_IDE_NUM IS NULL) THEN 1 ELSE 0 END) AS CLM_LINE_IDE_NUM,</v>
      </c>
      <c r="J172" s="43" t="s">
        <v>489</v>
      </c>
      <c r="K172" s="46" t="s">
        <v>861</v>
      </c>
      <c r="L172" s="46">
        <v>0</v>
      </c>
      <c r="M172" s="46">
        <v>135351338</v>
      </c>
      <c r="N172" s="47">
        <f xml:space="preserve"> 1 -O172</f>
        <v>1</v>
      </c>
      <c r="O172" s="48">
        <f>L172/M172</f>
        <v>0</v>
      </c>
      <c r="P172" s="43" t="s">
        <v>489</v>
      </c>
      <c r="Q172" s="48"/>
      <c r="R172" s="48"/>
      <c r="S172" s="54"/>
      <c r="T172" s="48"/>
      <c r="U172" s="48"/>
      <c r="V172" s="43" t="s">
        <v>489</v>
      </c>
      <c r="W172" s="46" t="s">
        <v>862</v>
      </c>
      <c r="X172" s="46" t="s">
        <v>862</v>
      </c>
      <c r="Y172" s="46">
        <v>191518</v>
      </c>
      <c r="Z172" s="46">
        <v>146028028</v>
      </c>
      <c r="AA172" s="46">
        <v>191518</v>
      </c>
      <c r="AB172" s="46">
        <v>146028028</v>
      </c>
      <c r="AC172" s="47">
        <f>1 - AD172</f>
        <v>0</v>
      </c>
      <c r="AD172" s="47">
        <f>Y172/AA172</f>
        <v>1</v>
      </c>
      <c r="AE172" s="47">
        <f>1 - AF172</f>
        <v>0</v>
      </c>
      <c r="AF172" s="47">
        <f>Z172/AB172</f>
        <v>1</v>
      </c>
    </row>
    <row r="173" spans="1:32" ht="124.2" x14ac:dyDescent="0.3">
      <c r="A173" s="34">
        <v>188</v>
      </c>
      <c r="B173" s="28" t="s">
        <v>612</v>
      </c>
      <c r="C173" s="28" t="s">
        <v>613</v>
      </c>
      <c r="D173" s="28" t="s">
        <v>24</v>
      </c>
      <c r="E173" s="28" t="s">
        <v>436</v>
      </c>
      <c r="F173" s="28" t="s">
        <v>614</v>
      </c>
      <c r="G173" s="44" t="s">
        <v>15</v>
      </c>
      <c r="H173" s="44" t="s">
        <v>15</v>
      </c>
      <c r="I173" s="45" t="str">
        <f>CONCATENATE("SUM(CASE WHEN (MCS.",F173," IN (' ', '~') OR MCS.",F173, " IS NULL) THEN 1 ELSE 0 END) AS ",F173,",")</f>
        <v>SUM(CASE WHEN (MCS.CLM_LINE_HCT_HGB_TYPE_CD IN (' ', '~') OR MCS.CLM_LINE_HCT_HGB_TYPE_CD IS NULL) THEN 1 ELSE 0 END) AS CLM_LINE_HCT_HGB_TYPE_CD,</v>
      </c>
      <c r="J173" s="28" t="s">
        <v>614</v>
      </c>
      <c r="K173" s="46" t="s">
        <v>861</v>
      </c>
      <c r="L173" s="46">
        <v>0</v>
      </c>
      <c r="M173" s="46">
        <v>135449900</v>
      </c>
      <c r="N173" s="47">
        <f xml:space="preserve"> 1 -O173</f>
        <v>1</v>
      </c>
      <c r="O173" s="48">
        <f>L173/M173</f>
        <v>0</v>
      </c>
      <c r="P173" s="28" t="s">
        <v>614</v>
      </c>
      <c r="Q173" s="48"/>
      <c r="R173" s="48"/>
      <c r="S173" s="54"/>
      <c r="T173" s="48"/>
      <c r="U173" s="48"/>
      <c r="V173" s="24" t="s">
        <v>614</v>
      </c>
      <c r="W173" s="58" t="s">
        <v>862</v>
      </c>
      <c r="X173" s="58" t="s">
        <v>862</v>
      </c>
      <c r="Y173" s="57">
        <v>191518</v>
      </c>
      <c r="Z173" s="57">
        <v>146028028</v>
      </c>
      <c r="AA173" s="57">
        <v>191518</v>
      </c>
      <c r="AB173" s="57">
        <v>146028028</v>
      </c>
      <c r="AC173" s="47">
        <f>1 - AD173</f>
        <v>0</v>
      </c>
      <c r="AD173" s="47">
        <f>Y173/AA173</f>
        <v>1</v>
      </c>
      <c r="AE173" s="47">
        <f>1 - AF173</f>
        <v>0</v>
      </c>
      <c r="AF173" s="47">
        <f>Z173/AB173</f>
        <v>1</v>
      </c>
    </row>
    <row r="174" spans="1:32" ht="82.8" x14ac:dyDescent="0.3">
      <c r="A174" s="34">
        <v>189</v>
      </c>
      <c r="B174" s="28" t="s">
        <v>615</v>
      </c>
      <c r="C174" s="28" t="s">
        <v>616</v>
      </c>
      <c r="D174" s="28" t="s">
        <v>24</v>
      </c>
      <c r="E174" s="28" t="s">
        <v>436</v>
      </c>
      <c r="F174" s="28" t="s">
        <v>617</v>
      </c>
      <c r="G174" s="44" t="s">
        <v>15</v>
      </c>
      <c r="H174" s="44" t="s">
        <v>15</v>
      </c>
      <c r="I174" s="45" t="str">
        <f>CONCATENATE("SUM(CASE WHEN (MCS.",F174, " IS NULL) THEN 1 ELSE 0 END) AS ",F174,",")</f>
        <v>SUM(CASE WHEN (MCS.CLM_LINE_HCT_HGB_RSLT_NUM IS NULL) THEN 1 ELSE 0 END) AS CLM_LINE_HCT_HGB_RSLT_NUM,</v>
      </c>
      <c r="J174" s="28" t="s">
        <v>617</v>
      </c>
      <c r="K174" s="46" t="s">
        <v>861</v>
      </c>
      <c r="L174" s="46">
        <v>0</v>
      </c>
      <c r="M174" s="46">
        <v>135449900</v>
      </c>
      <c r="N174" s="47">
        <f xml:space="preserve"> 1 -O174</f>
        <v>1</v>
      </c>
      <c r="O174" s="48">
        <f>L174/M174</f>
        <v>0</v>
      </c>
      <c r="P174" s="28" t="s">
        <v>617</v>
      </c>
      <c r="Q174" s="48"/>
      <c r="R174" s="48"/>
      <c r="S174" s="54"/>
      <c r="T174" s="48"/>
      <c r="U174" s="48"/>
      <c r="V174" s="24" t="s">
        <v>617</v>
      </c>
      <c r="W174" s="58" t="s">
        <v>862</v>
      </c>
      <c r="X174" s="58" t="s">
        <v>862</v>
      </c>
      <c r="Y174" s="57">
        <v>191518</v>
      </c>
      <c r="Z174" s="57">
        <v>146028028</v>
      </c>
      <c r="AA174" s="57">
        <v>191518</v>
      </c>
      <c r="AB174" s="57">
        <v>146028028</v>
      </c>
      <c r="AC174" s="47">
        <f>1 - AD174</f>
        <v>0</v>
      </c>
      <c r="AD174" s="47">
        <f>Y174/AA174</f>
        <v>1</v>
      </c>
      <c r="AE174" s="47">
        <f>1 - AF174</f>
        <v>0</v>
      </c>
      <c r="AF174" s="47">
        <f>Z174/AB174</f>
        <v>1</v>
      </c>
    </row>
    <row r="175" spans="1:32" ht="96.6" x14ac:dyDescent="0.3">
      <c r="A175" s="34">
        <v>143</v>
      </c>
      <c r="B175" s="28" t="s">
        <v>470</v>
      </c>
      <c r="C175" s="28" t="s">
        <v>471</v>
      </c>
      <c r="D175" s="28" t="s">
        <v>24</v>
      </c>
      <c r="E175" s="28" t="s">
        <v>57</v>
      </c>
      <c r="F175" s="43" t="s">
        <v>472</v>
      </c>
      <c r="G175" s="44" t="s">
        <v>15</v>
      </c>
      <c r="H175" s="44" t="s">
        <v>15</v>
      </c>
      <c r="I175" s="45" t="str">
        <f>CONCATENATE("SUM(CASE WHEN (MCS.",F175," IN (' ', '~') OR MCS.",F175, " IS NULL) THEN 1 ELSE 0 END) AS ",F175,",")</f>
        <v>SUM(CASE WHEN (MCS.CLM_LINE_HCPCS_CD IN (' ', '~') OR MCS.CLM_LINE_HCPCS_CD IS NULL) THEN 1 ELSE 0 END) AS CLM_LINE_HCPCS_CD,</v>
      </c>
      <c r="J175" s="43" t="s">
        <v>472</v>
      </c>
      <c r="K175" s="46" t="s">
        <v>861</v>
      </c>
      <c r="L175" s="46">
        <v>0</v>
      </c>
      <c r="M175" s="46">
        <v>135351338</v>
      </c>
      <c r="N175" s="47">
        <f xml:space="preserve"> 1 -O175</f>
        <v>1</v>
      </c>
      <c r="O175" s="48">
        <f>L175/M175</f>
        <v>0</v>
      </c>
      <c r="P175" s="43" t="s">
        <v>472</v>
      </c>
      <c r="Q175" s="48"/>
      <c r="R175" s="48"/>
      <c r="S175" s="54"/>
      <c r="T175" s="48"/>
      <c r="U175" s="48"/>
      <c r="V175" s="43" t="s">
        <v>472</v>
      </c>
      <c r="W175" s="46" t="s">
        <v>861</v>
      </c>
      <c r="X175" s="46" t="s">
        <v>861</v>
      </c>
      <c r="Y175" s="46">
        <v>0</v>
      </c>
      <c r="Z175" s="46">
        <v>0</v>
      </c>
      <c r="AA175" s="46">
        <v>191518</v>
      </c>
      <c r="AB175" s="46">
        <v>146028028</v>
      </c>
      <c r="AC175" s="47">
        <f>1 - AD175</f>
        <v>1</v>
      </c>
      <c r="AD175" s="47">
        <f>Y175/AA175</f>
        <v>0</v>
      </c>
      <c r="AE175" s="47">
        <f>1 - AF175</f>
        <v>1</v>
      </c>
      <c r="AF175" s="47">
        <f>Z175/AB175</f>
        <v>0</v>
      </c>
    </row>
    <row r="176" spans="1:32" ht="69" x14ac:dyDescent="0.3">
      <c r="A176" s="34">
        <v>141</v>
      </c>
      <c r="B176" s="28" t="s">
        <v>462</v>
      </c>
      <c r="C176" s="28" t="s">
        <v>463</v>
      </c>
      <c r="D176" s="28" t="s">
        <v>24</v>
      </c>
      <c r="E176" s="28" t="s">
        <v>57</v>
      </c>
      <c r="F176" s="28" t="s">
        <v>464</v>
      </c>
      <c r="G176" s="44" t="s">
        <v>15</v>
      </c>
      <c r="H176" s="44" t="s">
        <v>15</v>
      </c>
      <c r="I176" s="45" t="str">
        <f>CONCATENATE("SUM(CASE WHEN (MCS.",F176, " IS NULL) THEN 1 ELSE 0 END) AS ",F176,",")</f>
        <v>SUM(CASE WHEN (MCS.CLM_LINE_FROM_DT IS NULL) THEN 1 ELSE 0 END) AS CLM_LINE_FROM_DT,</v>
      </c>
      <c r="J176" s="28" t="s">
        <v>464</v>
      </c>
      <c r="K176" s="46" t="s">
        <v>861</v>
      </c>
      <c r="L176" s="46">
        <v>0</v>
      </c>
      <c r="M176" s="46">
        <v>135351338</v>
      </c>
      <c r="N176" s="47">
        <f xml:space="preserve"> 1 -O176</f>
        <v>1</v>
      </c>
      <c r="O176" s="48">
        <f>L176/M176</f>
        <v>0</v>
      </c>
      <c r="P176" s="28" t="s">
        <v>464</v>
      </c>
      <c r="Q176" s="48"/>
      <c r="R176" s="48"/>
      <c r="S176" s="54"/>
      <c r="T176" s="48"/>
      <c r="U176" s="48"/>
      <c r="V176" s="43" t="s">
        <v>464</v>
      </c>
      <c r="W176" s="46" t="s">
        <v>861</v>
      </c>
      <c r="X176" s="46" t="s">
        <v>861</v>
      </c>
      <c r="Y176" s="46">
        <v>0</v>
      </c>
      <c r="Z176" s="46">
        <v>0</v>
      </c>
      <c r="AA176" s="46">
        <v>191518</v>
      </c>
      <c r="AB176" s="46">
        <v>146028028</v>
      </c>
      <c r="AC176" s="47">
        <f>1 - AD176</f>
        <v>1</v>
      </c>
      <c r="AD176" s="47">
        <f>Y176/AA176</f>
        <v>0</v>
      </c>
      <c r="AE176" s="47">
        <f>1 - AF176</f>
        <v>1</v>
      </c>
      <c r="AF176" s="47">
        <f>Z176/AB176</f>
        <v>0</v>
      </c>
    </row>
    <row r="177" spans="1:32" ht="110.4" x14ac:dyDescent="0.3">
      <c r="A177" s="34">
        <v>221</v>
      </c>
      <c r="B177" s="28" t="s">
        <v>714</v>
      </c>
      <c r="C177" s="28" t="s">
        <v>715</v>
      </c>
      <c r="D177" s="28" t="s">
        <v>24</v>
      </c>
      <c r="E177" s="28" t="s">
        <v>697</v>
      </c>
      <c r="F177" s="28" t="s">
        <v>716</v>
      </c>
      <c r="G177" s="28" t="s">
        <v>860</v>
      </c>
      <c r="H177" s="28" t="s">
        <v>245</v>
      </c>
      <c r="I177" s="45" t="str">
        <f>CONCATENATE("SUM(CASE WHEN (MCS.",F177," IN (' ', '~') OR MCS.",F177, " IS NULL) THEN 1 ELSE 0 END) AS ",F177,",")</f>
        <v>SUM(CASE WHEN (MCS.CLM_LINE_FPS_RSN_CD IN (' ', '~') OR MCS.CLM_LINE_FPS_RSN_CD IS NULL) THEN 1 ELSE 0 END) AS CLM_LINE_FPS_RSN_CD,</v>
      </c>
      <c r="J177" s="28" t="s">
        <v>716</v>
      </c>
      <c r="K177" s="46" t="s">
        <v>861</v>
      </c>
      <c r="L177" s="46">
        <v>0</v>
      </c>
      <c r="M177" s="57">
        <v>135449900</v>
      </c>
      <c r="N177" s="47">
        <f xml:space="preserve"> 1 -O177</f>
        <v>1</v>
      </c>
      <c r="O177" s="48">
        <f>L177/M177</f>
        <v>0</v>
      </c>
      <c r="P177" s="28" t="s">
        <v>716</v>
      </c>
      <c r="Q177" s="48"/>
      <c r="R177" s="48"/>
      <c r="S177" s="54"/>
      <c r="T177" s="48"/>
      <c r="U177" s="48"/>
      <c r="V177" s="43" t="s">
        <v>716</v>
      </c>
      <c r="W177" s="46" t="s">
        <v>861</v>
      </c>
      <c r="X177" s="46" t="s">
        <v>861</v>
      </c>
      <c r="Y177" s="46">
        <v>0</v>
      </c>
      <c r="Z177" s="46">
        <v>2</v>
      </c>
      <c r="AA177" s="46">
        <v>191517</v>
      </c>
      <c r="AB177" s="46">
        <v>146028020</v>
      </c>
      <c r="AC177" s="47">
        <f>1 - AD177</f>
        <v>1</v>
      </c>
      <c r="AD177" s="47">
        <f>Y177/AA177</f>
        <v>0</v>
      </c>
      <c r="AE177" s="47">
        <f>1 - AF177</f>
        <v>0.99999998630399833</v>
      </c>
      <c r="AF177" s="47">
        <f>Z177/AB177</f>
        <v>1.3696001630372033E-8</v>
      </c>
    </row>
    <row r="178" spans="1:32" ht="110.4" x14ac:dyDescent="0.3">
      <c r="A178" s="34">
        <v>222</v>
      </c>
      <c r="B178" s="28" t="s">
        <v>717</v>
      </c>
      <c r="C178" s="28" t="s">
        <v>718</v>
      </c>
      <c r="D178" s="28" t="s">
        <v>24</v>
      </c>
      <c r="E178" s="28" t="s">
        <v>697</v>
      </c>
      <c r="F178" s="28" t="s">
        <v>719</v>
      </c>
      <c r="G178" s="28" t="s">
        <v>860</v>
      </c>
      <c r="H178" s="28" t="s">
        <v>245</v>
      </c>
      <c r="I178" s="45" t="str">
        <f>CONCATENATE("SUM(CASE WHEN (MCS.",F178," IN (' ', '~') OR MCS.",F178, " IS NULL) THEN 1 ELSE 0 END) AS ",F178,",")</f>
        <v>SUM(CASE WHEN (MCS.CLM_LINE_FPS_RMRK_CD IN (' ', '~') OR MCS.CLM_LINE_FPS_RMRK_CD IS NULL) THEN 1 ELSE 0 END) AS CLM_LINE_FPS_RMRK_CD,</v>
      </c>
      <c r="J178" s="28" t="s">
        <v>719</v>
      </c>
      <c r="K178" s="46" t="s">
        <v>861</v>
      </c>
      <c r="L178" s="46">
        <v>0</v>
      </c>
      <c r="M178" s="57">
        <v>135449900</v>
      </c>
      <c r="N178" s="47">
        <f xml:space="preserve"> 1 -O178</f>
        <v>1</v>
      </c>
      <c r="O178" s="48">
        <f>L178/M178</f>
        <v>0</v>
      </c>
      <c r="P178" s="28" t="s">
        <v>719</v>
      </c>
      <c r="Q178" s="48"/>
      <c r="R178" s="48"/>
      <c r="S178" s="54"/>
      <c r="T178" s="48"/>
      <c r="U178" s="48"/>
      <c r="V178" s="43" t="s">
        <v>719</v>
      </c>
      <c r="W178" s="46" t="s">
        <v>861</v>
      </c>
      <c r="X178" s="46" t="s">
        <v>861</v>
      </c>
      <c r="Y178" s="46">
        <v>0</v>
      </c>
      <c r="Z178" s="46">
        <v>2</v>
      </c>
      <c r="AA178" s="46">
        <v>191517</v>
      </c>
      <c r="AB178" s="46">
        <v>146028020</v>
      </c>
      <c r="AC178" s="47">
        <f>1 - AD178</f>
        <v>1</v>
      </c>
      <c r="AD178" s="47">
        <f>Y178/AA178</f>
        <v>0</v>
      </c>
      <c r="AE178" s="47">
        <f>1 - AF178</f>
        <v>0.99999998630399833</v>
      </c>
      <c r="AF178" s="47">
        <f>Z178/AB178</f>
        <v>1.3696001630372033E-8</v>
      </c>
    </row>
    <row r="179" spans="1:32" ht="110.4" x14ac:dyDescent="0.3">
      <c r="A179" s="34">
        <v>224</v>
      </c>
      <c r="B179" s="28" t="s">
        <v>723</v>
      </c>
      <c r="C179" s="28" t="s">
        <v>724</v>
      </c>
      <c r="D179" s="28" t="s">
        <v>24</v>
      </c>
      <c r="E179" s="28" t="s">
        <v>57</v>
      </c>
      <c r="F179" s="28" t="s">
        <v>725</v>
      </c>
      <c r="G179" s="28" t="s">
        <v>860</v>
      </c>
      <c r="H179" s="44" t="s">
        <v>15</v>
      </c>
      <c r="I179" s="45" t="str">
        <f>CONCATENATE("SUM(CASE WHEN (MCS.",F179," IN (' ', '~') OR MCS.",F179, " IS NULL) THEN 1 ELSE 0 END) AS ",F179,",")</f>
        <v>SUM(CASE WHEN (MCS.CLM_LINE_FPS_MSN_2_CD IN (' ', '~') OR MCS.CLM_LINE_FPS_MSN_2_CD IS NULL) THEN 1 ELSE 0 END) AS CLM_LINE_FPS_MSN_2_CD,</v>
      </c>
      <c r="J179" s="28" t="s">
        <v>725</v>
      </c>
      <c r="K179" s="46" t="s">
        <v>861</v>
      </c>
      <c r="L179" s="46">
        <v>0</v>
      </c>
      <c r="M179" s="46">
        <v>135351338</v>
      </c>
      <c r="N179" s="47">
        <f xml:space="preserve"> 1 -O179</f>
        <v>1</v>
      </c>
      <c r="O179" s="48">
        <f>L179/M179</f>
        <v>0</v>
      </c>
      <c r="P179" s="28" t="s">
        <v>725</v>
      </c>
      <c r="Q179" s="48"/>
      <c r="R179" s="48"/>
      <c r="S179" s="54"/>
      <c r="T179" s="48"/>
      <c r="U179" s="48"/>
      <c r="V179" s="43" t="s">
        <v>725</v>
      </c>
      <c r="W179" s="46" t="s">
        <v>862</v>
      </c>
      <c r="X179" s="46" t="s">
        <v>862</v>
      </c>
      <c r="Y179" s="46">
        <v>191518</v>
      </c>
      <c r="Z179" s="46">
        <v>146028028</v>
      </c>
      <c r="AA179" s="46">
        <v>191518</v>
      </c>
      <c r="AB179" s="46">
        <v>146028028</v>
      </c>
      <c r="AC179" s="47">
        <f>1 - AD179</f>
        <v>0</v>
      </c>
      <c r="AD179" s="47">
        <f>Y179/AA179</f>
        <v>1</v>
      </c>
      <c r="AE179" s="47">
        <f>1 - AF179</f>
        <v>0</v>
      </c>
      <c r="AF179" s="47">
        <f>Z179/AB179</f>
        <v>1</v>
      </c>
    </row>
    <row r="180" spans="1:32" ht="110.4" x14ac:dyDescent="0.3">
      <c r="A180" s="34">
        <v>223</v>
      </c>
      <c r="B180" s="28" t="s">
        <v>720</v>
      </c>
      <c r="C180" s="28" t="s">
        <v>721</v>
      </c>
      <c r="D180" s="28" t="s">
        <v>24</v>
      </c>
      <c r="E180" s="28" t="s">
        <v>57</v>
      </c>
      <c r="F180" s="28" t="s">
        <v>722</v>
      </c>
      <c r="G180" s="28" t="s">
        <v>860</v>
      </c>
      <c r="H180" s="44" t="s">
        <v>15</v>
      </c>
      <c r="I180" s="45" t="str">
        <f>CONCATENATE("SUM(CASE WHEN (MCS.",F180," IN (' ', '~') OR MCS.",F180, " IS NULL) THEN 1 ELSE 0 END) AS ",F180,",")</f>
        <v>SUM(CASE WHEN (MCS.CLM_LINE_FPS_MSN_1_CD IN (' ', '~') OR MCS.CLM_LINE_FPS_MSN_1_CD IS NULL) THEN 1 ELSE 0 END) AS CLM_LINE_FPS_MSN_1_CD,</v>
      </c>
      <c r="J180" s="28" t="s">
        <v>722</v>
      </c>
      <c r="K180" s="46" t="s">
        <v>861</v>
      </c>
      <c r="L180" s="46">
        <v>0</v>
      </c>
      <c r="M180" s="46">
        <v>135351338</v>
      </c>
      <c r="N180" s="47">
        <f xml:space="preserve"> 1 -O180</f>
        <v>1</v>
      </c>
      <c r="O180" s="48">
        <f>L180/M180</f>
        <v>0</v>
      </c>
      <c r="P180" s="28" t="s">
        <v>722</v>
      </c>
      <c r="Q180" s="48"/>
      <c r="R180" s="48"/>
      <c r="S180" s="54"/>
      <c r="T180" s="48"/>
      <c r="U180" s="48"/>
      <c r="V180" s="43" t="s">
        <v>722</v>
      </c>
      <c r="W180" s="46" t="s">
        <v>862</v>
      </c>
      <c r="X180" s="46" t="s">
        <v>862</v>
      </c>
      <c r="Y180" s="46">
        <v>191518</v>
      </c>
      <c r="Z180" s="46">
        <v>146028028</v>
      </c>
      <c r="AA180" s="46">
        <v>191518</v>
      </c>
      <c r="AB180" s="46">
        <v>146028028</v>
      </c>
      <c r="AC180" s="47">
        <f>1 - AD180</f>
        <v>0</v>
      </c>
      <c r="AD180" s="47">
        <f>Y180/AA180</f>
        <v>1</v>
      </c>
      <c r="AE180" s="47">
        <f>1 - AF180</f>
        <v>0</v>
      </c>
      <c r="AF180" s="47">
        <f>Z180/AB180</f>
        <v>1</v>
      </c>
    </row>
    <row r="181" spans="1:32" ht="110.4" x14ac:dyDescent="0.3">
      <c r="A181" s="34">
        <v>220</v>
      </c>
      <c r="B181" s="28" t="s">
        <v>711</v>
      </c>
      <c r="C181" s="28" t="s">
        <v>712</v>
      </c>
      <c r="D181" s="28" t="s">
        <v>24</v>
      </c>
      <c r="E181" s="28" t="s">
        <v>57</v>
      </c>
      <c r="F181" s="28" t="s">
        <v>713</v>
      </c>
      <c r="G181" s="28" t="s">
        <v>860</v>
      </c>
      <c r="H181" s="44" t="s">
        <v>15</v>
      </c>
      <c r="I181" s="45" t="str">
        <f>CONCATENATE("SUM(CASE WHEN (MCS.",F181," IN (' ', '~') OR MCS.",F181, " IS NULL) THEN 1 ELSE 0 END) AS ",F181,",")</f>
        <v>SUM(CASE WHEN (MCS.CLM_LINE_FPS_MODEL_NUM IN (' ', '~') OR MCS.CLM_LINE_FPS_MODEL_NUM IS NULL) THEN 1 ELSE 0 END) AS CLM_LINE_FPS_MODEL_NUM,</v>
      </c>
      <c r="J181" s="28" t="s">
        <v>713</v>
      </c>
      <c r="K181" s="46" t="s">
        <v>861</v>
      </c>
      <c r="L181" s="46">
        <v>0</v>
      </c>
      <c r="M181" s="46">
        <v>135351338</v>
      </c>
      <c r="N181" s="47">
        <f xml:space="preserve"> 1 -O181</f>
        <v>1</v>
      </c>
      <c r="O181" s="48">
        <f>L181/M181</f>
        <v>0</v>
      </c>
      <c r="P181" s="28" t="s">
        <v>713</v>
      </c>
      <c r="Q181" s="48"/>
      <c r="R181" s="48"/>
      <c r="S181" s="54"/>
      <c r="T181" s="48"/>
      <c r="U181" s="48"/>
      <c r="V181" s="43" t="s">
        <v>713</v>
      </c>
      <c r="W181" s="46" t="s">
        <v>862</v>
      </c>
      <c r="X181" s="46" t="s">
        <v>862</v>
      </c>
      <c r="Y181" s="46">
        <v>191518</v>
      </c>
      <c r="Z181" s="46">
        <v>146028028</v>
      </c>
      <c r="AA181" s="46">
        <v>191518</v>
      </c>
      <c r="AB181" s="46">
        <v>146028028</v>
      </c>
      <c r="AC181" s="47">
        <f>1 - AD181</f>
        <v>0</v>
      </c>
      <c r="AD181" s="47">
        <f>Y181/AA181</f>
        <v>1</v>
      </c>
      <c r="AE181" s="47">
        <f>1 - AF181</f>
        <v>0</v>
      </c>
      <c r="AF181" s="47">
        <f>Z181/AB181</f>
        <v>1</v>
      </c>
    </row>
    <row r="182" spans="1:32" ht="69" x14ac:dyDescent="0.3">
      <c r="A182" s="34">
        <v>241</v>
      </c>
      <c r="B182" s="28" t="s">
        <v>806</v>
      </c>
      <c r="C182" s="28" t="s">
        <v>803</v>
      </c>
      <c r="D182" s="28" t="s">
        <v>804</v>
      </c>
      <c r="E182" s="28" t="s">
        <v>57</v>
      </c>
      <c r="F182" s="28" t="s">
        <v>807</v>
      </c>
      <c r="G182" s="44" t="s">
        <v>15</v>
      </c>
      <c r="H182" s="44" t="s">
        <v>15</v>
      </c>
      <c r="I182" s="45" t="str">
        <f>CONCATENATE("SUM(CASE WHEN (MCS.",F182, " IS NULL) THEN 1 ELSE 0 END) AS ",F182,",")</f>
        <v>SUM(CASE WHEN (MCS.CLM_LINE_FFS_IND IS NULL) THEN 1 ELSE 0 END) AS CLM_LINE_FFS_IND,</v>
      </c>
      <c r="J182" s="28" t="s">
        <v>807</v>
      </c>
      <c r="K182" s="46" t="s">
        <v>861</v>
      </c>
      <c r="L182" s="46">
        <v>0</v>
      </c>
      <c r="M182" s="46">
        <v>135351338</v>
      </c>
      <c r="N182" s="47">
        <f xml:space="preserve"> 1 -O182</f>
        <v>1</v>
      </c>
      <c r="O182" s="48">
        <f>L182/M182</f>
        <v>0</v>
      </c>
      <c r="P182" s="28" t="s">
        <v>807</v>
      </c>
      <c r="Q182" s="48"/>
      <c r="R182" s="48"/>
      <c r="S182" s="54"/>
      <c r="T182" s="48"/>
      <c r="U182" s="48"/>
      <c r="V182" s="43" t="s">
        <v>807</v>
      </c>
      <c r="W182" s="46" t="s">
        <v>861</v>
      </c>
      <c r="X182" s="46" t="s">
        <v>861</v>
      </c>
      <c r="Y182" s="46">
        <v>0</v>
      </c>
      <c r="Z182" s="46">
        <v>0</v>
      </c>
      <c r="AA182" s="46">
        <v>191518</v>
      </c>
      <c r="AB182" s="46">
        <v>146028028</v>
      </c>
      <c r="AC182" s="47">
        <f>1 - AD182</f>
        <v>1</v>
      </c>
      <c r="AD182" s="47">
        <f>Y182/AA182</f>
        <v>0</v>
      </c>
      <c r="AE182" s="47">
        <f>1 - AF182</f>
        <v>1</v>
      </c>
      <c r="AF182" s="47">
        <f>Z182/AB182</f>
        <v>0</v>
      </c>
    </row>
    <row r="183" spans="1:32" ht="96.6" x14ac:dyDescent="0.3">
      <c r="A183" s="34">
        <v>175</v>
      </c>
      <c r="B183" s="28" t="s">
        <v>563</v>
      </c>
      <c r="C183" s="28" t="s">
        <v>564</v>
      </c>
      <c r="D183" s="28" t="s">
        <v>24</v>
      </c>
      <c r="E183" s="28" t="s">
        <v>57</v>
      </c>
      <c r="F183" s="43" t="s">
        <v>565</v>
      </c>
      <c r="G183" s="44" t="s">
        <v>15</v>
      </c>
      <c r="H183" s="44" t="s">
        <v>15</v>
      </c>
      <c r="I183" s="45" t="str">
        <f>CONCATENATE("SUM(CASE WHEN (MCS.",F183," IN (' ', '~') OR MCS.",F183, " IS NULL) THEN 1 ELSE 0 END) AS ",F183,",")</f>
        <v>SUM(CASE WHEN (MCS.CLM_LINE_DGNS_CD IN (' ', '~') OR MCS.CLM_LINE_DGNS_CD IS NULL) THEN 1 ELSE 0 END) AS CLM_LINE_DGNS_CD,</v>
      </c>
      <c r="J183" s="43" t="s">
        <v>565</v>
      </c>
      <c r="K183" s="46" t="s">
        <v>861</v>
      </c>
      <c r="L183" s="46">
        <v>0</v>
      </c>
      <c r="M183" s="46">
        <v>135351338</v>
      </c>
      <c r="N183" s="47">
        <f xml:space="preserve"> 1 -O183</f>
        <v>1</v>
      </c>
      <c r="O183" s="48">
        <f>L183/M183</f>
        <v>0</v>
      </c>
      <c r="P183" s="43" t="s">
        <v>565</v>
      </c>
      <c r="Q183" s="48"/>
      <c r="R183" s="48"/>
      <c r="S183" s="54"/>
      <c r="T183" s="48"/>
      <c r="U183" s="48"/>
      <c r="V183" s="43" t="s">
        <v>565</v>
      </c>
      <c r="W183" s="46" t="s">
        <v>861</v>
      </c>
      <c r="X183" s="46" t="s">
        <v>861</v>
      </c>
      <c r="Y183" s="46">
        <v>0</v>
      </c>
      <c r="Z183" s="46">
        <v>0</v>
      </c>
      <c r="AA183" s="46">
        <v>191518</v>
      </c>
      <c r="AB183" s="46">
        <v>146028028</v>
      </c>
      <c r="AC183" s="47">
        <f>1 - AD183</f>
        <v>1</v>
      </c>
      <c r="AD183" s="47">
        <f>Y183/AA183</f>
        <v>0</v>
      </c>
      <c r="AE183" s="47">
        <f>1 - AF183</f>
        <v>1</v>
      </c>
      <c r="AF183" s="47">
        <f>Z183/AB183</f>
        <v>0</v>
      </c>
    </row>
    <row r="184" spans="1:32" ht="96.6" x14ac:dyDescent="0.3">
      <c r="A184" s="34">
        <v>191</v>
      </c>
      <c r="B184" s="28" t="s">
        <v>621</v>
      </c>
      <c r="C184" s="28" t="s">
        <v>622</v>
      </c>
      <c r="D184" s="28" t="s">
        <v>24</v>
      </c>
      <c r="E184" s="28" t="s">
        <v>57</v>
      </c>
      <c r="F184" s="28" t="s">
        <v>623</v>
      </c>
      <c r="G184" s="44" t="s">
        <v>15</v>
      </c>
      <c r="H184" s="44" t="s">
        <v>15</v>
      </c>
      <c r="I184" s="45" t="str">
        <f>CONCATENATE("SUM(CASE WHEN (MCS.",F184," IN (' ', '~') OR MCS.",F184, " IS NULL) THEN 1 ELSE 0 END) AS ",F184,",")</f>
        <v>SUM(CASE WHEN (MCS.CLM_LINE_DCMTN_CD  IN (' ', '~') OR MCS.CLM_LINE_DCMTN_CD  IS NULL) THEN 1 ELSE 0 END) AS CLM_LINE_DCMTN_CD ,</v>
      </c>
      <c r="J184" s="28" t="s">
        <v>623</v>
      </c>
      <c r="K184" s="46" t="s">
        <v>861</v>
      </c>
      <c r="L184" s="46">
        <v>0</v>
      </c>
      <c r="M184" s="46">
        <v>135351338</v>
      </c>
      <c r="N184" s="47">
        <f xml:space="preserve"> 1 -O184</f>
        <v>1</v>
      </c>
      <c r="O184" s="48">
        <f>L184/M184</f>
        <v>0</v>
      </c>
      <c r="P184" s="28" t="s">
        <v>623</v>
      </c>
      <c r="Q184" s="48"/>
      <c r="R184" s="48"/>
      <c r="S184" s="54"/>
      <c r="T184" s="48"/>
      <c r="U184" s="48"/>
      <c r="V184" s="43" t="s">
        <v>893</v>
      </c>
      <c r="W184" s="46" t="s">
        <v>862</v>
      </c>
      <c r="X184" s="46" t="s">
        <v>862</v>
      </c>
      <c r="Y184" s="46">
        <v>191518</v>
      </c>
      <c r="Z184" s="46">
        <v>146028028</v>
      </c>
      <c r="AA184" s="46">
        <v>191518</v>
      </c>
      <c r="AB184" s="46">
        <v>146028028</v>
      </c>
      <c r="AC184" s="47">
        <f>1 - AD184</f>
        <v>0</v>
      </c>
      <c r="AD184" s="47">
        <f>Y184/AA184</f>
        <v>1</v>
      </c>
      <c r="AE184" s="47">
        <f>1 - AF184</f>
        <v>0</v>
      </c>
      <c r="AF184" s="47">
        <f>Z184/AB184</f>
        <v>1</v>
      </c>
    </row>
    <row r="185" spans="1:32" ht="82.8" x14ac:dyDescent="0.3">
      <c r="A185" s="34">
        <v>151</v>
      </c>
      <c r="B185" s="28" t="s">
        <v>493</v>
      </c>
      <c r="C185" s="28" t="s">
        <v>494</v>
      </c>
      <c r="D185" s="28" t="s">
        <v>24</v>
      </c>
      <c r="E185" s="28" t="s">
        <v>57</v>
      </c>
      <c r="F185" s="43" t="s">
        <v>495</v>
      </c>
      <c r="G185" s="44" t="s">
        <v>15</v>
      </c>
      <c r="H185" s="44" t="s">
        <v>15</v>
      </c>
      <c r="I185" s="45" t="str">
        <f>CONCATENATE("SUM(CASE WHEN (MCS.",F185, " IS NULL) THEN 1 ELSE 0 END) AS ",F185,",")</f>
        <v>SUM(CASE WHEN (MCS.CLM_LINE_CVRD_PD_AMT IS NULL) THEN 1 ELSE 0 END) AS CLM_LINE_CVRD_PD_AMT,</v>
      </c>
      <c r="J185" s="43" t="s">
        <v>495</v>
      </c>
      <c r="K185" s="46" t="s">
        <v>861</v>
      </c>
      <c r="L185" s="46">
        <v>0</v>
      </c>
      <c r="M185" s="46">
        <v>135351338</v>
      </c>
      <c r="N185" s="47">
        <f xml:space="preserve"> 1 -O185</f>
        <v>1</v>
      </c>
      <c r="O185" s="48">
        <f>L185/M185</f>
        <v>0</v>
      </c>
      <c r="P185" s="43" t="s">
        <v>495</v>
      </c>
      <c r="Q185" s="48"/>
      <c r="R185" s="48"/>
      <c r="S185" s="54"/>
      <c r="T185" s="48"/>
      <c r="U185" s="48"/>
      <c r="V185" s="43" t="s">
        <v>495</v>
      </c>
      <c r="W185" s="46" t="s">
        <v>861</v>
      </c>
      <c r="X185" s="46" t="s">
        <v>861</v>
      </c>
      <c r="Y185" s="46">
        <v>0</v>
      </c>
      <c r="Z185" s="46">
        <v>0</v>
      </c>
      <c r="AA185" s="46">
        <v>191518</v>
      </c>
      <c r="AB185" s="46">
        <v>146028028</v>
      </c>
      <c r="AC185" s="47">
        <f>1 - AD185</f>
        <v>1</v>
      </c>
      <c r="AD185" s="47">
        <f>Y185/AA185</f>
        <v>0</v>
      </c>
      <c r="AE185" s="47">
        <f>1 - AF185</f>
        <v>1</v>
      </c>
      <c r="AF185" s="47">
        <f>Z185/AB185</f>
        <v>0</v>
      </c>
    </row>
    <row r="186" spans="1:32" ht="317.39999999999998" x14ac:dyDescent="0.3">
      <c r="A186" s="34">
        <v>232</v>
      </c>
      <c r="B186" s="28" t="s">
        <v>735</v>
      </c>
      <c r="C186" s="28" t="s">
        <v>896</v>
      </c>
      <c r="D186" s="28" t="s">
        <v>760</v>
      </c>
      <c r="E186" s="28" t="s">
        <v>697</v>
      </c>
      <c r="F186" s="28" t="s">
        <v>761</v>
      </c>
      <c r="G186" s="28" t="s">
        <v>742</v>
      </c>
      <c r="H186" s="28" t="s">
        <v>762</v>
      </c>
      <c r="I186" s="45" t="str">
        <f>CONCATENATE("SUM(CASE WHEN (MCS.",F186, " IS NULL) THEN 1 ELSE 0 END) AS ",F186,",")</f>
        <v>SUM(CASE WHEN (MCS.CLM_LINE_CEC_TLHLTH_SW IS NULL) THEN 1 ELSE 0 END) AS CLM_LINE_CEC_TLHLTH_SW,</v>
      </c>
      <c r="J186" s="28" t="s">
        <v>761</v>
      </c>
      <c r="K186" s="46" t="s">
        <v>861</v>
      </c>
      <c r="L186" s="46">
        <v>135351338</v>
      </c>
      <c r="M186" s="57">
        <v>135449900</v>
      </c>
      <c r="N186" s="47">
        <f xml:space="preserve"> 1 -O186</f>
        <v>7.2766388162703866E-4</v>
      </c>
      <c r="O186" s="48">
        <f>L186/M186</f>
        <v>0.99927233611837296</v>
      </c>
      <c r="P186" s="28" t="s">
        <v>761</v>
      </c>
      <c r="Q186" s="48"/>
      <c r="R186" s="48"/>
      <c r="S186" s="54"/>
      <c r="T186" s="48"/>
      <c r="U186" s="48"/>
      <c r="V186" s="43" t="s">
        <v>761</v>
      </c>
      <c r="W186" s="46" t="s">
        <v>862</v>
      </c>
      <c r="X186" s="46" t="s">
        <v>862</v>
      </c>
      <c r="Y186" s="46">
        <v>191517</v>
      </c>
      <c r="Z186" s="46">
        <v>146028020</v>
      </c>
      <c r="AA186" s="46">
        <v>191517</v>
      </c>
      <c r="AB186" s="46">
        <v>146028020</v>
      </c>
      <c r="AC186" s="47">
        <f>1 - AD186</f>
        <v>0</v>
      </c>
      <c r="AD186" s="47">
        <f>Y186/AA186</f>
        <v>1</v>
      </c>
      <c r="AE186" s="47">
        <f>1 - AF186</f>
        <v>0</v>
      </c>
      <c r="AF186" s="47">
        <f>Z186/AB186</f>
        <v>1</v>
      </c>
    </row>
    <row r="187" spans="1:32" ht="96.6" x14ac:dyDescent="0.3">
      <c r="A187" s="34">
        <v>158</v>
      </c>
      <c r="B187" s="28" t="s">
        <v>514</v>
      </c>
      <c r="C187" s="28" t="s">
        <v>515</v>
      </c>
      <c r="D187" s="28" t="s">
        <v>24</v>
      </c>
      <c r="E187" s="28" t="s">
        <v>436</v>
      </c>
      <c r="F187" s="28" t="s">
        <v>516</v>
      </c>
      <c r="G187" s="44" t="s">
        <v>15</v>
      </c>
      <c r="H187" s="44" t="s">
        <v>15</v>
      </c>
      <c r="I187" s="45" t="str">
        <f>CONCATENATE("SUM(CASE WHEN (MCS.",F187, " IS NULL) THEN 1 ELSE 0 END) AS ",F187,",")</f>
        <v>SUM(CASE WHEN (MCS.CLM_LINE_CARR_PSYCH_OT_LMT_AMT IS NULL) THEN 1 ELSE 0 END) AS CLM_LINE_CARR_PSYCH_OT_LMT_AMT,</v>
      </c>
      <c r="J187" s="28" t="s">
        <v>516</v>
      </c>
      <c r="K187" s="46" t="s">
        <v>861</v>
      </c>
      <c r="L187" s="46">
        <v>0</v>
      </c>
      <c r="M187" s="46">
        <v>135449900</v>
      </c>
      <c r="N187" s="47">
        <f xml:space="preserve"> 1 -O187</f>
        <v>1</v>
      </c>
      <c r="O187" s="48">
        <f>L187/M187</f>
        <v>0</v>
      </c>
      <c r="P187" s="28" t="s">
        <v>516</v>
      </c>
      <c r="Q187" s="48"/>
      <c r="R187" s="48"/>
      <c r="S187" s="54"/>
      <c r="T187" s="48"/>
      <c r="U187" s="48"/>
      <c r="V187" s="24" t="s">
        <v>516</v>
      </c>
      <c r="W187" s="58" t="s">
        <v>861</v>
      </c>
      <c r="X187" s="58" t="s">
        <v>861</v>
      </c>
      <c r="Y187" s="59">
        <v>0</v>
      </c>
      <c r="Z187" s="59">
        <v>0</v>
      </c>
      <c r="AA187" s="57">
        <v>191518</v>
      </c>
      <c r="AB187" s="57">
        <v>146028028</v>
      </c>
      <c r="AC187" s="47">
        <f>1 - AD187</f>
        <v>1</v>
      </c>
      <c r="AD187" s="47">
        <f>Y187/AA187</f>
        <v>0</v>
      </c>
      <c r="AE187" s="47">
        <f>1 - AF187</f>
        <v>1</v>
      </c>
      <c r="AF187" s="47">
        <f>Z187/AB187</f>
        <v>0</v>
      </c>
    </row>
    <row r="188" spans="1:32" ht="138" x14ac:dyDescent="0.3">
      <c r="A188" s="34">
        <v>186</v>
      </c>
      <c r="B188" s="28" t="s">
        <v>606</v>
      </c>
      <c r="C188" s="28" t="s">
        <v>607</v>
      </c>
      <c r="D188" s="28" t="s">
        <v>24</v>
      </c>
      <c r="E188" s="28" t="s">
        <v>436</v>
      </c>
      <c r="F188" s="28" t="s">
        <v>608</v>
      </c>
      <c r="G188" s="44" t="s">
        <v>15</v>
      </c>
      <c r="H188" s="44" t="s">
        <v>15</v>
      </c>
      <c r="I188" s="45" t="str">
        <f>CONCATENATE("SUM(CASE WHEN (MCS.",F188," IN (' ', '~') OR MCS.",F188, " IS NULL) THEN 1 ELSE 0 END) AS ",F188,",")</f>
        <v>SUM(CASE WHEN (MCS.CLM_LINE_CARR_HPSA_SCRCTY_CD IN (' ', '~') OR MCS.CLM_LINE_CARR_HPSA_SCRCTY_CD IS NULL) THEN 1 ELSE 0 END) AS CLM_LINE_CARR_HPSA_SCRCTY_CD,</v>
      </c>
      <c r="J188" s="28" t="s">
        <v>608</v>
      </c>
      <c r="K188" s="46" t="s">
        <v>861</v>
      </c>
      <c r="L188" s="46">
        <v>0</v>
      </c>
      <c r="M188" s="46">
        <v>135449900</v>
      </c>
      <c r="N188" s="47">
        <f xml:space="preserve"> 1 -O188</f>
        <v>1</v>
      </c>
      <c r="O188" s="48">
        <f>L188/M188</f>
        <v>0</v>
      </c>
      <c r="P188" s="28" t="s">
        <v>608</v>
      </c>
      <c r="Q188" s="48"/>
      <c r="R188" s="48"/>
      <c r="S188" s="54"/>
      <c r="T188" s="48"/>
      <c r="U188" s="48"/>
      <c r="V188" s="24" t="s">
        <v>608</v>
      </c>
      <c r="W188" s="58" t="s">
        <v>862</v>
      </c>
      <c r="X188" s="58" t="s">
        <v>862</v>
      </c>
      <c r="Y188" s="57">
        <v>191518</v>
      </c>
      <c r="Z188" s="57">
        <v>146028026</v>
      </c>
      <c r="AA188" s="57">
        <v>191518</v>
      </c>
      <c r="AB188" s="57">
        <v>146028028</v>
      </c>
      <c r="AC188" s="47">
        <f>1 - AD188</f>
        <v>0</v>
      </c>
      <c r="AD188" s="47">
        <f>Y188/AA188</f>
        <v>1</v>
      </c>
      <c r="AE188" s="47">
        <f>1 - AF188</f>
        <v>1.3696000888963056E-8</v>
      </c>
      <c r="AF188" s="47">
        <f>Z188/AB188</f>
        <v>0.99999998630399911</v>
      </c>
    </row>
    <row r="189" spans="1:32" ht="96.6" x14ac:dyDescent="0.3">
      <c r="A189" s="34">
        <v>181</v>
      </c>
      <c r="B189" s="28" t="s">
        <v>581</v>
      </c>
      <c r="C189" s="28" t="s">
        <v>582</v>
      </c>
      <c r="D189" s="28" t="s">
        <v>24</v>
      </c>
      <c r="E189" s="28" t="s">
        <v>436</v>
      </c>
      <c r="F189" s="28" t="s">
        <v>583</v>
      </c>
      <c r="G189" s="44" t="s">
        <v>15</v>
      </c>
      <c r="H189" s="44" t="s">
        <v>15</v>
      </c>
      <c r="I189" s="45" t="str">
        <f>CONCATENATE("SUM(CASE WHEN (",F189, " IS NULL) THEN 1 ELSE 0 END) AS ",F189,",")</f>
        <v>SUM(CASE WHEN (CLM_LINE_CARR_DME_NCSTY_MO_CNT IS NULL) THEN 1 ELSE 0 END) AS CLM_LINE_CARR_DME_NCSTY_MO_CNT,</v>
      </c>
      <c r="J189" s="28" t="s">
        <v>583</v>
      </c>
      <c r="K189" s="46" t="s">
        <v>861</v>
      </c>
      <c r="L189" s="46">
        <v>0</v>
      </c>
      <c r="M189" s="46">
        <v>135449900</v>
      </c>
      <c r="N189" s="47">
        <f xml:space="preserve"> 1 -O189</f>
        <v>1</v>
      </c>
      <c r="O189" s="48">
        <f>L189/M189</f>
        <v>0</v>
      </c>
      <c r="P189" s="28" t="s">
        <v>583</v>
      </c>
      <c r="Q189" s="48"/>
      <c r="R189" s="48"/>
      <c r="S189" s="54"/>
      <c r="T189" s="48"/>
      <c r="U189" s="48"/>
      <c r="V189" s="24" t="s">
        <v>583</v>
      </c>
      <c r="W189" s="58" t="s">
        <v>862</v>
      </c>
      <c r="X189" s="58" t="s">
        <v>862</v>
      </c>
      <c r="Y189" s="57">
        <v>191518</v>
      </c>
      <c r="Z189" s="57">
        <v>146028028</v>
      </c>
      <c r="AA189" s="57">
        <v>191518</v>
      </c>
      <c r="AB189" s="57">
        <v>146028028</v>
      </c>
      <c r="AC189" s="47">
        <f>1 - AD189</f>
        <v>0</v>
      </c>
      <c r="AD189" s="47">
        <f>Y189/AA189</f>
        <v>1</v>
      </c>
      <c r="AE189" s="47">
        <f>1 - AF189</f>
        <v>0</v>
      </c>
      <c r="AF189" s="47">
        <f>Z189/AB189</f>
        <v>1</v>
      </c>
    </row>
    <row r="190" spans="1:32" ht="96.6" x14ac:dyDescent="0.3">
      <c r="A190" s="34">
        <v>179</v>
      </c>
      <c r="B190" s="28" t="s">
        <v>575</v>
      </c>
      <c r="C190" s="28" t="s">
        <v>576</v>
      </c>
      <c r="D190" s="28" t="s">
        <v>24</v>
      </c>
      <c r="E190" s="28" t="s">
        <v>436</v>
      </c>
      <c r="F190" s="28" t="s">
        <v>577</v>
      </c>
      <c r="G190" s="44" t="s">
        <v>15</v>
      </c>
      <c r="H190" s="44" t="s">
        <v>15</v>
      </c>
      <c r="I190" s="45" t="str">
        <f>CONCATENATE("SUM(CASE WHEN (MCS.",F190, " IS NULL) THEN 1 ELSE 0 END) AS ",F190,",")</f>
        <v>SUM(CASE WHEN (MCS.CLM_LINE_CARR_DME_CVRG_BGN_DT IS NULL) THEN 1 ELSE 0 END) AS CLM_LINE_CARR_DME_CVRG_BGN_DT,</v>
      </c>
      <c r="J190" s="28" t="s">
        <v>577</v>
      </c>
      <c r="K190" s="46" t="s">
        <v>861</v>
      </c>
      <c r="L190" s="46">
        <v>0</v>
      </c>
      <c r="M190" s="46">
        <v>135449900</v>
      </c>
      <c r="N190" s="47">
        <f xml:space="preserve"> 1 -O190</f>
        <v>1</v>
      </c>
      <c r="O190" s="48">
        <f>L190/M190</f>
        <v>0</v>
      </c>
      <c r="P190" s="28" t="s">
        <v>577</v>
      </c>
      <c r="Q190" s="48"/>
      <c r="R190" s="48"/>
      <c r="S190" s="54"/>
      <c r="T190" s="48"/>
      <c r="U190" s="48"/>
      <c r="V190" s="24" t="s">
        <v>577</v>
      </c>
      <c r="W190" s="58" t="s">
        <v>862</v>
      </c>
      <c r="X190" s="58" t="s">
        <v>862</v>
      </c>
      <c r="Y190" s="57">
        <v>191518</v>
      </c>
      <c r="Z190" s="57">
        <v>146028028</v>
      </c>
      <c r="AA190" s="57">
        <v>191518</v>
      </c>
      <c r="AB190" s="57">
        <v>146028028</v>
      </c>
      <c r="AC190" s="47">
        <f>1 - AD190</f>
        <v>0</v>
      </c>
      <c r="AD190" s="47">
        <f>Y190/AA190</f>
        <v>1</v>
      </c>
      <c r="AE190" s="47">
        <f>1 - AF190</f>
        <v>0</v>
      </c>
      <c r="AF190" s="47">
        <f>Z190/AB190</f>
        <v>1</v>
      </c>
    </row>
    <row r="191" spans="1:32" ht="138" x14ac:dyDescent="0.3">
      <c r="A191" s="34">
        <v>165</v>
      </c>
      <c r="B191" s="28" t="s">
        <v>535</v>
      </c>
      <c r="C191" s="28" t="s">
        <v>536</v>
      </c>
      <c r="D191" s="28" t="s">
        <v>24</v>
      </c>
      <c r="E191" s="28" t="s">
        <v>436</v>
      </c>
      <c r="F191" s="28" t="s">
        <v>537</v>
      </c>
      <c r="G191" s="55" t="s">
        <v>15</v>
      </c>
      <c r="H191" s="44" t="s">
        <v>15</v>
      </c>
      <c r="I191" s="45" t="str">
        <f>CONCATENATE("SUM(CASE WHEN (MCS.",F191," IN (' ', '~') OR MCS.",F191, " IS NULL) THEN 1 ELSE 0 END) AS ",F191,",")</f>
        <v>SUM(CASE WHEN (MCS.CLM_LINE_CARR_CLNCL_LAB_NUM IN (' ', '~') OR MCS.CLM_LINE_CARR_CLNCL_LAB_NUM IS NULL) THEN 1 ELSE 0 END) AS CLM_LINE_CARR_CLNCL_LAB_NUM,</v>
      </c>
      <c r="J191" s="28" t="s">
        <v>537</v>
      </c>
      <c r="K191" s="46" t="s">
        <v>861</v>
      </c>
      <c r="L191" s="46">
        <v>0</v>
      </c>
      <c r="M191" s="46">
        <v>135449900</v>
      </c>
      <c r="N191" s="47">
        <f xml:space="preserve"> 1 -O191</f>
        <v>1</v>
      </c>
      <c r="O191" s="48">
        <f>L191/M191</f>
        <v>0</v>
      </c>
      <c r="P191" s="28" t="s">
        <v>537</v>
      </c>
      <c r="Q191" s="48"/>
      <c r="R191" s="48"/>
      <c r="S191" s="54"/>
      <c r="T191" s="48"/>
      <c r="U191" s="48"/>
      <c r="V191" s="24" t="s">
        <v>537</v>
      </c>
      <c r="W191" s="58" t="s">
        <v>862</v>
      </c>
      <c r="X191" s="58" t="s">
        <v>862</v>
      </c>
      <c r="Y191" s="57">
        <v>191518</v>
      </c>
      <c r="Z191" s="57">
        <v>146028028</v>
      </c>
      <c r="AA191" s="57">
        <v>191518</v>
      </c>
      <c r="AB191" s="57">
        <v>146028028</v>
      </c>
      <c r="AC191" s="47">
        <f>1 - AD191</f>
        <v>0</v>
      </c>
      <c r="AD191" s="47">
        <f>Y191/AA191</f>
        <v>1</v>
      </c>
      <c r="AE191" s="47">
        <f>1 - AF191</f>
        <v>0</v>
      </c>
      <c r="AF191" s="47">
        <f>Z191/AB191</f>
        <v>1</v>
      </c>
    </row>
    <row r="192" spans="1:32" ht="96.6" x14ac:dyDescent="0.3">
      <c r="A192" s="34">
        <v>166</v>
      </c>
      <c r="B192" s="28" t="s">
        <v>538</v>
      </c>
      <c r="C192" s="28" t="s">
        <v>539</v>
      </c>
      <c r="D192" s="28" t="s">
        <v>24</v>
      </c>
      <c r="E192" s="28" t="s">
        <v>436</v>
      </c>
      <c r="F192" s="28" t="s">
        <v>540</v>
      </c>
      <c r="G192" s="44" t="s">
        <v>15</v>
      </c>
      <c r="H192" s="44" t="s">
        <v>15</v>
      </c>
      <c r="I192" s="45" t="str">
        <f>CONCATENATE("SUM(CASE WHEN (MCS.",F192, " IS NULL) THEN 1 ELSE 0 END) AS ",F192,",")</f>
        <v>SUM(CASE WHEN (MCS.CLM_LINE_CARR_CLNCL_CHRG_AMT IS NULL) THEN 1 ELSE 0 END) AS CLM_LINE_CARR_CLNCL_CHRG_AMT,</v>
      </c>
      <c r="J192" s="28" t="s">
        <v>540</v>
      </c>
      <c r="K192" s="46" t="s">
        <v>861</v>
      </c>
      <c r="L192" s="46">
        <v>0</v>
      </c>
      <c r="M192" s="46">
        <v>135449900</v>
      </c>
      <c r="N192" s="47">
        <f xml:space="preserve"> 1 -O192</f>
        <v>1</v>
      </c>
      <c r="O192" s="48">
        <f>L192/M192</f>
        <v>0</v>
      </c>
      <c r="P192" s="28" t="s">
        <v>540</v>
      </c>
      <c r="Q192" s="48"/>
      <c r="R192" s="48"/>
      <c r="S192" s="54"/>
      <c r="T192" s="48"/>
      <c r="U192" s="48"/>
      <c r="V192" s="24" t="s">
        <v>540</v>
      </c>
      <c r="W192" s="58" t="s">
        <v>862</v>
      </c>
      <c r="X192" s="58" t="s">
        <v>862</v>
      </c>
      <c r="Y192" s="57">
        <v>191518</v>
      </c>
      <c r="Z192" s="57">
        <v>146028028</v>
      </c>
      <c r="AA192" s="57">
        <v>191518</v>
      </c>
      <c r="AB192" s="57">
        <v>146028028</v>
      </c>
      <c r="AC192" s="47">
        <f>1 - AD192</f>
        <v>0</v>
      </c>
      <c r="AD192" s="47">
        <f>Y192/AA192</f>
        <v>1</v>
      </c>
      <c r="AE192" s="47">
        <f>1 - AF192</f>
        <v>0</v>
      </c>
      <c r="AF192" s="47">
        <f>Z192/AB192</f>
        <v>1</v>
      </c>
    </row>
    <row r="193" spans="1:32" ht="82.8" x14ac:dyDescent="0.3">
      <c r="A193" s="34">
        <v>152</v>
      </c>
      <c r="B193" s="28" t="s">
        <v>496</v>
      </c>
      <c r="C193" s="28" t="s">
        <v>497</v>
      </c>
      <c r="D193" s="28" t="s">
        <v>24</v>
      </c>
      <c r="E193" s="28" t="s">
        <v>57</v>
      </c>
      <c r="F193" s="28" t="s">
        <v>498</v>
      </c>
      <c r="G193" s="55" t="s">
        <v>15</v>
      </c>
      <c r="H193" s="44" t="s">
        <v>15</v>
      </c>
      <c r="I193" s="45" t="str">
        <f>CONCATENATE("SUM(CASE WHEN (MCS.",F193, " IS NULL) THEN 1 ELSE 0 END) AS ",F193,",")</f>
        <v>SUM(CASE WHEN (MCS.CLM_LINE_BENE_PD_AMT IS NULL) THEN 1 ELSE 0 END) AS CLM_LINE_BENE_PD_AMT,</v>
      </c>
      <c r="J193" s="28" t="s">
        <v>498</v>
      </c>
      <c r="K193" s="46" t="s">
        <v>861</v>
      </c>
      <c r="L193" s="46">
        <v>0</v>
      </c>
      <c r="M193" s="46">
        <v>135351338</v>
      </c>
      <c r="N193" s="47">
        <f xml:space="preserve"> 1 -O193</f>
        <v>1</v>
      </c>
      <c r="O193" s="48">
        <f>L193/M193</f>
        <v>0</v>
      </c>
      <c r="P193" s="28" t="s">
        <v>498</v>
      </c>
      <c r="Q193" s="48"/>
      <c r="R193" s="48"/>
      <c r="S193" s="54"/>
      <c r="T193" s="48"/>
      <c r="U193" s="48"/>
      <c r="V193" s="43" t="s">
        <v>498</v>
      </c>
      <c r="W193" s="46" t="s">
        <v>861</v>
      </c>
      <c r="X193" s="46" t="s">
        <v>861</v>
      </c>
      <c r="Y193" s="46">
        <v>0</v>
      </c>
      <c r="Z193" s="46">
        <v>0</v>
      </c>
      <c r="AA193" s="46">
        <v>191518</v>
      </c>
      <c r="AB193" s="46">
        <v>146028028</v>
      </c>
      <c r="AC193" s="47">
        <f>1 - AD193</f>
        <v>1</v>
      </c>
      <c r="AD193" s="47">
        <f>Y193/AA193</f>
        <v>0</v>
      </c>
      <c r="AE193" s="47">
        <f>1 - AF193</f>
        <v>1</v>
      </c>
      <c r="AF193" s="47">
        <f>Z193/AB193</f>
        <v>0</v>
      </c>
    </row>
    <row r="194" spans="1:32" ht="82.8" x14ac:dyDescent="0.3">
      <c r="A194" s="34">
        <v>176</v>
      </c>
      <c r="B194" s="28" t="s">
        <v>566</v>
      </c>
      <c r="C194" s="28" t="s">
        <v>567</v>
      </c>
      <c r="D194" s="28" t="s">
        <v>24</v>
      </c>
      <c r="E194" s="28" t="s">
        <v>57</v>
      </c>
      <c r="F194" s="28" t="s">
        <v>568</v>
      </c>
      <c r="G194" s="44" t="s">
        <v>15</v>
      </c>
      <c r="H194" s="44" t="s">
        <v>15</v>
      </c>
      <c r="I194" s="45" t="str">
        <f>CONCATENATE("SUM(CASE WHEN (MCS.",F194, " IS NULL) THEN 1 ELSE 0 END) AS ",F194,",")</f>
        <v>SUM(CASE WHEN (MCS.CLM_LINE_ANSTHSA_UNIT_CNT IS NULL) THEN 1 ELSE 0 END) AS CLM_LINE_ANSTHSA_UNIT_CNT,</v>
      </c>
      <c r="J194" s="28" t="s">
        <v>568</v>
      </c>
      <c r="K194" s="46" t="s">
        <v>861</v>
      </c>
      <c r="L194" s="46">
        <v>0</v>
      </c>
      <c r="M194" s="46">
        <v>135351338</v>
      </c>
      <c r="N194" s="47">
        <f xml:space="preserve"> 1 -O194</f>
        <v>1</v>
      </c>
      <c r="O194" s="48">
        <f>L194/M194</f>
        <v>0</v>
      </c>
      <c r="P194" s="28" t="s">
        <v>568</v>
      </c>
      <c r="Q194" s="48"/>
      <c r="R194" s="48"/>
      <c r="S194" s="54"/>
      <c r="T194" s="48"/>
      <c r="U194" s="48"/>
      <c r="V194" s="43" t="s">
        <v>568</v>
      </c>
      <c r="W194" s="46" t="s">
        <v>862</v>
      </c>
      <c r="X194" s="46" t="s">
        <v>862</v>
      </c>
      <c r="Y194" s="46">
        <v>191518</v>
      </c>
      <c r="Z194" s="46">
        <v>146028028</v>
      </c>
      <c r="AA194" s="46">
        <v>191518</v>
      </c>
      <c r="AB194" s="46">
        <v>146028028</v>
      </c>
      <c r="AC194" s="47">
        <f>1 - AD194</f>
        <v>0</v>
      </c>
      <c r="AD194" s="47">
        <f>Y194/AA194</f>
        <v>1</v>
      </c>
      <c r="AE194" s="47">
        <f>1 - AF194</f>
        <v>0</v>
      </c>
      <c r="AF194" s="47">
        <f>Z194/AB194</f>
        <v>1</v>
      </c>
    </row>
    <row r="195" spans="1:32" ht="82.8" x14ac:dyDescent="0.3">
      <c r="A195" s="34">
        <v>164</v>
      </c>
      <c r="B195" s="28" t="s">
        <v>532</v>
      </c>
      <c r="C195" s="28" t="s">
        <v>533</v>
      </c>
      <c r="D195" s="28" t="s">
        <v>24</v>
      </c>
      <c r="E195" s="28" t="s">
        <v>57</v>
      </c>
      <c r="F195" s="43" t="s">
        <v>534</v>
      </c>
      <c r="G195" s="44" t="s">
        <v>15</v>
      </c>
      <c r="H195" s="44" t="s">
        <v>15</v>
      </c>
      <c r="I195" s="45" t="str">
        <f>CONCATENATE("SUM(CASE WHEN (MCS.",F195, " IS NULL) THEN 1 ELSE 0 END) AS ",F195,",")</f>
        <v>SUM(CASE WHEN (MCS.CLM_LINE_ALOWD_CHRG_AMT IS NULL) THEN 1 ELSE 0 END) AS CLM_LINE_ALOWD_CHRG_AMT,</v>
      </c>
      <c r="J195" s="43" t="s">
        <v>534</v>
      </c>
      <c r="K195" s="46" t="s">
        <v>861</v>
      </c>
      <c r="L195" s="46">
        <v>0</v>
      </c>
      <c r="M195" s="46">
        <v>135351338</v>
      </c>
      <c r="N195" s="47">
        <f xml:space="preserve"> 1 -O195</f>
        <v>1</v>
      </c>
      <c r="O195" s="48">
        <f>L195/M195</f>
        <v>0</v>
      </c>
      <c r="P195" s="43" t="s">
        <v>534</v>
      </c>
      <c r="Q195" s="48"/>
      <c r="R195" s="48"/>
      <c r="S195" s="54"/>
      <c r="T195" s="48"/>
      <c r="U195" s="48"/>
      <c r="V195" s="43" t="s">
        <v>534</v>
      </c>
      <c r="W195" s="46" t="s">
        <v>861</v>
      </c>
      <c r="X195" s="46" t="s">
        <v>861</v>
      </c>
      <c r="Y195" s="46">
        <v>0</v>
      </c>
      <c r="Z195" s="46">
        <v>0</v>
      </c>
      <c r="AA195" s="46">
        <v>191518</v>
      </c>
      <c r="AB195" s="46">
        <v>146028028</v>
      </c>
      <c r="AC195" s="47">
        <f>1 - AD195</f>
        <v>1</v>
      </c>
      <c r="AD195" s="47">
        <f>Y195/AA195</f>
        <v>0</v>
      </c>
      <c r="AE195" s="47">
        <f>1 - AF195</f>
        <v>1</v>
      </c>
      <c r="AF195" s="47">
        <f>Z195/AB195</f>
        <v>0</v>
      </c>
    </row>
    <row r="196" spans="1:32" ht="317.39999999999998" x14ac:dyDescent="0.3">
      <c r="A196" s="34">
        <v>233</v>
      </c>
      <c r="B196" s="28" t="s">
        <v>735</v>
      </c>
      <c r="C196" s="28" t="s">
        <v>896</v>
      </c>
      <c r="D196" s="28" t="s">
        <v>763</v>
      </c>
      <c r="E196" s="28" t="s">
        <v>697</v>
      </c>
      <c r="F196" s="28" t="s">
        <v>764</v>
      </c>
      <c r="G196" s="28" t="s">
        <v>742</v>
      </c>
      <c r="H196" s="28" t="s">
        <v>762</v>
      </c>
      <c r="I196" s="45" t="str">
        <f>CONCATENATE("SUM(CASE WHEN (MCS.",F196, " IS NULL) THEN 1 ELSE 0 END) AS ",F196,",")</f>
        <v>SUM(CASE WHEN (MCS.CLM_LINE_ACO_CARE_MGMT_HCBS_SW IS NULL) THEN 1 ELSE 0 END) AS CLM_LINE_ACO_CARE_MGMT_HCBS_SW,</v>
      </c>
      <c r="J196" s="28" t="s">
        <v>764</v>
      </c>
      <c r="K196" s="46" t="s">
        <v>861</v>
      </c>
      <c r="L196" s="46">
        <v>135274756</v>
      </c>
      <c r="M196" s="46">
        <v>135351338</v>
      </c>
      <c r="N196" s="47">
        <f xml:space="preserve"> 1 -O196</f>
        <v>5.6580157338381731E-4</v>
      </c>
      <c r="O196" s="48">
        <f>L196/M196</f>
        <v>0.99943419842661618</v>
      </c>
      <c r="P196" s="28" t="s">
        <v>764</v>
      </c>
      <c r="Q196" s="48"/>
      <c r="R196" s="48"/>
      <c r="S196" s="54"/>
      <c r="T196" s="48"/>
      <c r="U196" s="48"/>
      <c r="V196" s="43" t="s">
        <v>764</v>
      </c>
      <c r="W196" s="46" t="s">
        <v>862</v>
      </c>
      <c r="X196" s="46" t="s">
        <v>862</v>
      </c>
      <c r="Y196" s="46">
        <v>191517</v>
      </c>
      <c r="Z196" s="46">
        <v>146028020</v>
      </c>
      <c r="AA196" s="46">
        <v>191517</v>
      </c>
      <c r="AB196" s="46">
        <v>146028020</v>
      </c>
      <c r="AC196" s="47">
        <f>1 - AD196</f>
        <v>0</v>
      </c>
      <c r="AD196" s="47">
        <f>Y196/AA196</f>
        <v>1</v>
      </c>
      <c r="AE196" s="47">
        <f>1 - AF196</f>
        <v>0</v>
      </c>
      <c r="AF196" s="47">
        <f>Z196/AB196</f>
        <v>1</v>
      </c>
    </row>
    <row r="197" spans="1:32" ht="69" x14ac:dyDescent="0.3">
      <c r="A197" s="34">
        <v>43</v>
      </c>
      <c r="B197" s="28" t="s">
        <v>144</v>
      </c>
      <c r="C197" s="28" t="s">
        <v>145</v>
      </c>
      <c r="D197" s="28" t="s">
        <v>24</v>
      </c>
      <c r="E197" s="28" t="s">
        <v>25</v>
      </c>
      <c r="F197" s="28" t="s">
        <v>879</v>
      </c>
      <c r="G197" s="44" t="s">
        <v>15</v>
      </c>
      <c r="H197" s="44" t="s">
        <v>880</v>
      </c>
      <c r="I197" s="45" t="str">
        <f>CONCATENATE("SUM(CASE WHEN (MCS.",F197, " IS NULL) THEN 1 ELSE 0 END) AS ",F197,",")</f>
        <v>SUM(CASE WHEN (MCS.CLM_LAST_NAME IS NULL) THEN 1 ELSE 0 END) AS CLM_LAST_NAME,</v>
      </c>
      <c r="J197" s="28" t="s">
        <v>879</v>
      </c>
      <c r="K197" s="46" t="s">
        <v>861</v>
      </c>
      <c r="L197" s="46">
        <v>0</v>
      </c>
      <c r="M197" s="46">
        <v>67078797</v>
      </c>
      <c r="N197" s="47">
        <f xml:space="preserve"> 1 -O197</f>
        <v>1</v>
      </c>
      <c r="O197" s="48">
        <f>L197/M197</f>
        <v>0</v>
      </c>
      <c r="P197" s="28" t="s">
        <v>879</v>
      </c>
      <c r="Q197" s="48"/>
      <c r="R197" s="48"/>
      <c r="S197" s="54"/>
      <c r="T197" s="48"/>
      <c r="U197" s="48"/>
      <c r="V197" s="43" t="s">
        <v>879</v>
      </c>
      <c r="W197" s="46" t="s">
        <v>861</v>
      </c>
      <c r="X197" s="46" t="s">
        <v>861</v>
      </c>
      <c r="Y197" s="46">
        <v>0</v>
      </c>
      <c r="Z197" s="46">
        <v>0</v>
      </c>
      <c r="AA197" s="46">
        <v>89974</v>
      </c>
      <c r="AB197" s="46">
        <v>71615601</v>
      </c>
      <c r="AC197" s="47">
        <f>1 - AD197</f>
        <v>1</v>
      </c>
      <c r="AD197" s="47">
        <f>Y197/AA197</f>
        <v>0</v>
      </c>
      <c r="AE197" s="47">
        <f>1 - AF197</f>
        <v>1</v>
      </c>
      <c r="AF197" s="47">
        <f>Z197/AB197</f>
        <v>0</v>
      </c>
    </row>
    <row r="198" spans="1:32" ht="69" x14ac:dyDescent="0.3">
      <c r="A198" s="34">
        <v>45</v>
      </c>
      <c r="B198" s="28" t="s">
        <v>150</v>
      </c>
      <c r="C198" s="28" t="s">
        <v>151</v>
      </c>
      <c r="D198" s="28" t="s">
        <v>24</v>
      </c>
      <c r="E198" s="28" t="s">
        <v>25</v>
      </c>
      <c r="F198" s="28" t="s">
        <v>878</v>
      </c>
      <c r="G198" s="44" t="s">
        <v>15</v>
      </c>
      <c r="H198" s="44" t="s">
        <v>15</v>
      </c>
      <c r="I198" s="45" t="str">
        <f>CONCATENATE("SUM(CASE WHEN (MCS.",F198, " IS NULL) THEN 1 ELSE 0 END) AS ",F198,",")</f>
        <v>SUM(CASE WHEN (MCS.CLM_INTL_MDL_NAME IS NULL) THEN 1 ELSE 0 END) AS CLM_INTL_MDL_NAME,</v>
      </c>
      <c r="J198" s="28" t="s">
        <v>878</v>
      </c>
      <c r="K198" s="46" t="s">
        <v>861</v>
      </c>
      <c r="L198" s="46">
        <v>0</v>
      </c>
      <c r="M198" s="46">
        <v>67078797</v>
      </c>
      <c r="N198" s="47">
        <f xml:space="preserve"> 1 -O198</f>
        <v>1</v>
      </c>
      <c r="O198" s="48">
        <f>L198/M198</f>
        <v>0</v>
      </c>
      <c r="P198" s="28" t="s">
        <v>878</v>
      </c>
      <c r="Q198" s="48"/>
      <c r="R198" s="48"/>
      <c r="S198" s="54"/>
      <c r="T198" s="48"/>
      <c r="U198" s="48"/>
      <c r="V198" s="43" t="s">
        <v>878</v>
      </c>
      <c r="W198" s="46" t="s">
        <v>861</v>
      </c>
      <c r="X198" s="46" t="s">
        <v>861</v>
      </c>
      <c r="Y198" s="46">
        <v>0</v>
      </c>
      <c r="Z198" s="46">
        <v>0</v>
      </c>
      <c r="AA198" s="46">
        <v>89974</v>
      </c>
      <c r="AB198" s="46">
        <v>71615601</v>
      </c>
      <c r="AC198" s="47">
        <f>1 - AD198</f>
        <v>1</v>
      </c>
      <c r="AD198" s="47">
        <f>Y198/AA198</f>
        <v>0</v>
      </c>
      <c r="AE198" s="47">
        <f>1 - AF198</f>
        <v>1</v>
      </c>
      <c r="AF198" s="47">
        <f>Z198/AB198</f>
        <v>0</v>
      </c>
    </row>
    <row r="199" spans="1:32" ht="110.4" x14ac:dyDescent="0.3">
      <c r="A199" s="34">
        <v>65</v>
      </c>
      <c r="B199" s="28" t="s">
        <v>218</v>
      </c>
      <c r="C199" s="28" t="s">
        <v>219</v>
      </c>
      <c r="D199" s="28" t="s">
        <v>24</v>
      </c>
      <c r="E199" s="28" t="s">
        <v>170</v>
      </c>
      <c r="F199" s="28" t="s">
        <v>220</v>
      </c>
      <c r="G199" s="44" t="s">
        <v>15</v>
      </c>
      <c r="H199" s="44" t="s">
        <v>15</v>
      </c>
      <c r="I199" s="45" t="str">
        <f>CONCATENATE("SUM(CASE WHEN (MCS.",F199," IN (' ', '~') OR MCS.",F199, " IS NULL) THEN 1 ELSE 0 END) AS ",F199,",")</f>
        <v>SUM(CASE WHEN (MCS.CLM_HOSPC_OVRRD_CD IN (' ', '~') OR MCS.CLM_HOSPC_OVRRD_CD IS NULL) THEN 1 ELSE 0 END) AS CLM_HOSPC_OVRRD_CD,</v>
      </c>
      <c r="J199" s="28" t="s">
        <v>220</v>
      </c>
      <c r="K199" s="46" t="s">
        <v>861</v>
      </c>
      <c r="L199" s="46">
        <v>0</v>
      </c>
      <c r="M199" s="46">
        <v>67126071</v>
      </c>
      <c r="N199" s="47">
        <f xml:space="preserve"> 1 -O199</f>
        <v>1</v>
      </c>
      <c r="O199" s="48">
        <f>L199/M199</f>
        <v>0</v>
      </c>
      <c r="P199" s="28" t="s">
        <v>220</v>
      </c>
      <c r="Q199" s="48"/>
      <c r="R199" s="48"/>
      <c r="S199" s="54"/>
      <c r="T199" s="48"/>
      <c r="U199" s="48"/>
      <c r="V199" s="24" t="s">
        <v>220</v>
      </c>
      <c r="W199" s="57" t="s">
        <v>862</v>
      </c>
      <c r="X199" s="57" t="s">
        <v>862</v>
      </c>
      <c r="Y199" s="57">
        <v>89974</v>
      </c>
      <c r="Z199" s="57">
        <v>71615601</v>
      </c>
      <c r="AA199" s="57">
        <v>89974</v>
      </c>
      <c r="AB199" s="57">
        <v>71615601</v>
      </c>
      <c r="AC199" s="47">
        <f>1 - AD199</f>
        <v>0</v>
      </c>
      <c r="AD199" s="47">
        <f>Y199/AA199</f>
        <v>1</v>
      </c>
      <c r="AE199" s="47">
        <f>1 - AF199</f>
        <v>0</v>
      </c>
      <c r="AF199" s="47">
        <f>Z199/AB199</f>
        <v>1</v>
      </c>
    </row>
    <row r="200" spans="1:32" ht="96.6" x14ac:dyDescent="0.3">
      <c r="A200" s="34">
        <v>10</v>
      </c>
      <c r="B200" s="28" t="s">
        <v>35</v>
      </c>
      <c r="C200" s="28" t="s">
        <v>36</v>
      </c>
      <c r="D200" s="28" t="s">
        <v>37</v>
      </c>
      <c r="E200" s="28" t="s">
        <v>31</v>
      </c>
      <c r="F200" s="28" t="s">
        <v>38</v>
      </c>
      <c r="G200" s="44" t="s">
        <v>15</v>
      </c>
      <c r="H200" s="44" t="s">
        <v>15</v>
      </c>
      <c r="I200" s="45" t="str">
        <f>CONCATENATE("SUM(CASE WHEN ",F200," IN (' ', '~') OR ",F200, " IS NULL THEN 1 ELSE 0 END) AS ",F200,",")</f>
        <v>SUM(CASE WHEN CLM_HIC_NUM IN (' ', '~') OR CLM_HIC_NUM IS NULL THEN 1 ELSE 0 END) AS CLM_HIC_NUM,</v>
      </c>
      <c r="J200" s="28" t="s">
        <v>38</v>
      </c>
      <c r="K200" s="46" t="s">
        <v>861</v>
      </c>
      <c r="L200" s="46">
        <v>0</v>
      </c>
      <c r="M200" s="46">
        <v>67078797</v>
      </c>
      <c r="N200" s="47">
        <f xml:space="preserve"> 1 -O200</f>
        <v>1</v>
      </c>
      <c r="O200" s="48">
        <f>L200/M200</f>
        <v>0</v>
      </c>
      <c r="P200" s="49" t="s">
        <v>38</v>
      </c>
      <c r="Q200" s="50"/>
      <c r="R200" s="51">
        <v>0</v>
      </c>
      <c r="S200" s="54"/>
      <c r="T200" s="48"/>
      <c r="U200" s="48"/>
      <c r="V200" s="43" t="s">
        <v>38</v>
      </c>
      <c r="W200" s="46" t="s">
        <v>861</v>
      </c>
      <c r="X200" s="46" t="s">
        <v>861</v>
      </c>
      <c r="Y200" s="46">
        <v>0</v>
      </c>
      <c r="Z200" s="46">
        <v>0</v>
      </c>
      <c r="AA200" s="46">
        <v>89974</v>
      </c>
      <c r="AB200" s="46">
        <v>71615601</v>
      </c>
      <c r="AC200" s="47">
        <f>1 - AD200</f>
        <v>1</v>
      </c>
      <c r="AD200" s="47">
        <f>Y200/AA200</f>
        <v>0</v>
      </c>
      <c r="AE200" s="47">
        <f>1 - AF200</f>
        <v>1</v>
      </c>
      <c r="AF200" s="47">
        <f>Z200/AB200</f>
        <v>0</v>
      </c>
    </row>
    <row r="201" spans="1:32" ht="96.6" x14ac:dyDescent="0.3">
      <c r="A201" s="34">
        <v>12</v>
      </c>
      <c r="B201" s="28" t="s">
        <v>42</v>
      </c>
      <c r="C201" s="28" t="s">
        <v>43</v>
      </c>
      <c r="D201" s="28" t="s">
        <v>37</v>
      </c>
      <c r="E201" s="28" t="s">
        <v>31</v>
      </c>
      <c r="F201" s="28" t="s">
        <v>38</v>
      </c>
      <c r="G201" s="44" t="s">
        <v>15</v>
      </c>
      <c r="H201" s="44" t="s">
        <v>15</v>
      </c>
      <c r="I201" s="45" t="str">
        <f>CONCATENATE("SUM(CASE WHEN ",F201," IN (' ', '~') OR ",F201, " IS NULL THEN 1 ELSE 0 END) AS ",F201,",")</f>
        <v>SUM(CASE WHEN CLM_HIC_NUM IN (' ', '~') OR CLM_HIC_NUM IS NULL THEN 1 ELSE 0 END) AS CLM_HIC_NUM,</v>
      </c>
      <c r="J201" s="28" t="s">
        <v>38</v>
      </c>
      <c r="K201" s="46" t="s">
        <v>861</v>
      </c>
      <c r="L201" s="46">
        <v>0</v>
      </c>
      <c r="M201" s="46">
        <v>67078797</v>
      </c>
      <c r="N201" s="47">
        <f xml:space="preserve"> 1 -O201</f>
        <v>1</v>
      </c>
      <c r="O201" s="48">
        <f>L201/M201</f>
        <v>0</v>
      </c>
      <c r="P201" s="49" t="s">
        <v>38</v>
      </c>
      <c r="Q201" s="50"/>
      <c r="R201" s="51">
        <v>0</v>
      </c>
      <c r="S201" s="54"/>
      <c r="T201" s="48"/>
      <c r="U201" s="48"/>
      <c r="V201" s="43" t="s">
        <v>38</v>
      </c>
      <c r="W201" s="46" t="s">
        <v>861</v>
      </c>
      <c r="X201" s="46" t="s">
        <v>861</v>
      </c>
      <c r="Y201" s="46">
        <v>0</v>
      </c>
      <c r="Z201" s="46">
        <v>0</v>
      </c>
      <c r="AA201" s="46">
        <v>89974</v>
      </c>
      <c r="AB201" s="46">
        <v>71615601</v>
      </c>
      <c r="AC201" s="47">
        <f>1 - AD201</f>
        <v>1</v>
      </c>
      <c r="AD201" s="47">
        <f>Y201/AA201</f>
        <v>0</v>
      </c>
      <c r="AE201" s="47">
        <f>1 - AF201</f>
        <v>1</v>
      </c>
      <c r="AF201" s="47">
        <f>Z201/AB201</f>
        <v>0</v>
      </c>
    </row>
    <row r="202" spans="1:32" ht="96.6" x14ac:dyDescent="0.3">
      <c r="A202" s="34" t="s">
        <v>860</v>
      </c>
      <c r="B202" s="28" t="s">
        <v>272</v>
      </c>
      <c r="C202" s="28" t="s">
        <v>273</v>
      </c>
      <c r="D202" s="28" t="s">
        <v>24</v>
      </c>
      <c r="E202" s="66" t="s">
        <v>46</v>
      </c>
      <c r="F202" s="66" t="s">
        <v>273</v>
      </c>
      <c r="G202" s="66" t="s">
        <v>860</v>
      </c>
      <c r="H202" s="67" t="s">
        <v>15</v>
      </c>
      <c r="I202" s="68" t="str">
        <f>CONCATENATE("SUM(CASE WHEN (MCS.",F202," IN (' ', '~') OR MCS.",F202, " IS NULL) THEN 1 ELSE 0 END) AS ",F202,",")</f>
        <v>SUM(CASE WHEN (MCS.CLM_GROUP_CD IN (' ', '~') OR MCS.CLM_GROUP_CD IS NULL) THEN 1 ELSE 0 END) AS CLM_GROUP_CD,</v>
      </c>
      <c r="J202" s="66" t="s">
        <v>273</v>
      </c>
      <c r="K202" s="69"/>
      <c r="L202" s="69"/>
      <c r="M202" s="69"/>
      <c r="N202" s="69"/>
      <c r="O202" s="70"/>
      <c r="P202" s="66" t="s">
        <v>273</v>
      </c>
      <c r="Q202" s="70"/>
      <c r="R202" s="70"/>
      <c r="S202" s="71"/>
      <c r="T202" s="70"/>
      <c r="U202" s="70"/>
      <c r="V202" s="68"/>
      <c r="W202" s="69"/>
      <c r="X202" s="69"/>
      <c r="Y202" s="69"/>
      <c r="Z202" s="69"/>
      <c r="AA202" s="69"/>
      <c r="AB202" s="69"/>
      <c r="AC202" s="69"/>
      <c r="AD202" s="69"/>
      <c r="AE202" s="69"/>
      <c r="AF202" s="69"/>
    </row>
    <row r="203" spans="1:32" ht="69" x14ac:dyDescent="0.3">
      <c r="A203" s="34">
        <v>15</v>
      </c>
      <c r="B203" s="43" t="s">
        <v>52</v>
      </c>
      <c r="C203" s="28" t="s">
        <v>56</v>
      </c>
      <c r="D203" s="43" t="s">
        <v>24</v>
      </c>
      <c r="E203" s="28" t="s">
        <v>31</v>
      </c>
      <c r="F203" s="43" t="s">
        <v>56</v>
      </c>
      <c r="G203" s="44" t="s">
        <v>15</v>
      </c>
      <c r="H203" s="44" t="s">
        <v>15</v>
      </c>
      <c r="I203" s="45" t="str">
        <f>CONCATENATE("SUM(CASE WHEN (",F203, " IS NULL) THEN 1 ELSE 0 END) AS ",F203,",")</f>
        <v>SUM(CASE WHEN (CLM_FROM_DT IS NULL) THEN 1 ELSE 0 END) AS CLM_FROM_DT,</v>
      </c>
      <c r="J203" s="43" t="s">
        <v>56</v>
      </c>
      <c r="K203" s="46" t="s">
        <v>861</v>
      </c>
      <c r="L203" s="46">
        <v>0</v>
      </c>
      <c r="M203" s="46">
        <v>67078797</v>
      </c>
      <c r="N203" s="47">
        <f xml:space="preserve"> 1 -O203</f>
        <v>1</v>
      </c>
      <c r="O203" s="48">
        <f>L203/M203</f>
        <v>0</v>
      </c>
      <c r="P203" s="49" t="s">
        <v>56</v>
      </c>
      <c r="Q203" s="50"/>
      <c r="R203" s="51">
        <v>0</v>
      </c>
      <c r="S203" s="54"/>
      <c r="T203" s="48"/>
      <c r="U203" s="48"/>
      <c r="V203" s="43" t="s">
        <v>56</v>
      </c>
      <c r="W203" s="46" t="s">
        <v>861</v>
      </c>
      <c r="X203" s="46" t="s">
        <v>861</v>
      </c>
      <c r="Y203" s="46">
        <v>0</v>
      </c>
      <c r="Z203" s="46">
        <v>0</v>
      </c>
      <c r="AA203" s="46">
        <v>89974</v>
      </c>
      <c r="AB203" s="46">
        <v>71615601</v>
      </c>
      <c r="AC203" s="47">
        <f>1 - AD203</f>
        <v>1</v>
      </c>
      <c r="AD203" s="47">
        <f>Y203/AA203</f>
        <v>0</v>
      </c>
      <c r="AE203" s="47">
        <f>1 - AF203</f>
        <v>1</v>
      </c>
      <c r="AF203" s="47">
        <f>Z203/AB203</f>
        <v>0</v>
      </c>
    </row>
    <row r="204" spans="1:32" ht="69" x14ac:dyDescent="0.3">
      <c r="A204" s="34">
        <v>15</v>
      </c>
      <c r="B204" s="43" t="s">
        <v>52</v>
      </c>
      <c r="C204" s="28" t="s">
        <v>53</v>
      </c>
      <c r="D204" s="28" t="s">
        <v>54</v>
      </c>
      <c r="E204" s="43" t="s">
        <v>55</v>
      </c>
      <c r="F204" s="43" t="s">
        <v>56</v>
      </c>
      <c r="G204" s="44" t="s">
        <v>15</v>
      </c>
      <c r="H204" s="44" t="s">
        <v>15</v>
      </c>
      <c r="I204" s="45" t="str">
        <f>CONCATENATE("SUM(CASE WHEN (MCS.",F204, " IS NULL) THEN 1 ELSE 0 END) AS ",F204,",")</f>
        <v>SUM(CASE WHEN (MCS.CLM_FROM_DT IS NULL) THEN 1 ELSE 0 END) AS CLM_FROM_DT,</v>
      </c>
      <c r="J204" s="43" t="s">
        <v>56</v>
      </c>
      <c r="K204" s="46" t="s">
        <v>861</v>
      </c>
      <c r="L204" s="46">
        <v>0</v>
      </c>
      <c r="M204" s="46">
        <v>67078797</v>
      </c>
      <c r="N204" s="47">
        <f xml:space="preserve"> 1 -O204</f>
        <v>1</v>
      </c>
      <c r="O204" s="48">
        <f>L204/M204</f>
        <v>0</v>
      </c>
      <c r="P204" s="43" t="s">
        <v>56</v>
      </c>
      <c r="Q204" s="48"/>
      <c r="R204" s="48"/>
      <c r="S204" s="54"/>
      <c r="T204" s="48"/>
      <c r="U204" s="48"/>
      <c r="V204" s="43" t="s">
        <v>56</v>
      </c>
      <c r="W204" s="46" t="s">
        <v>861</v>
      </c>
      <c r="X204" s="46" t="s">
        <v>861</v>
      </c>
      <c r="Y204" s="46">
        <v>0</v>
      </c>
      <c r="Z204" s="46">
        <v>0</v>
      </c>
      <c r="AA204" s="46">
        <v>89974</v>
      </c>
      <c r="AB204" s="46">
        <v>71615601</v>
      </c>
      <c r="AC204" s="47">
        <f>1 - AD204</f>
        <v>1</v>
      </c>
      <c r="AD204" s="47">
        <f>Y204/AA204</f>
        <v>0</v>
      </c>
      <c r="AE204" s="47">
        <f>1 - AF204</f>
        <v>1</v>
      </c>
      <c r="AF204" s="47">
        <f>Z204/AB204</f>
        <v>0</v>
      </c>
    </row>
    <row r="205" spans="1:32" ht="69" x14ac:dyDescent="0.3">
      <c r="A205" s="34">
        <v>15</v>
      </c>
      <c r="B205" s="43" t="s">
        <v>52</v>
      </c>
      <c r="C205" s="28" t="s">
        <v>56</v>
      </c>
      <c r="D205" s="43" t="s">
        <v>24</v>
      </c>
      <c r="E205" s="43" t="s">
        <v>57</v>
      </c>
      <c r="F205" s="43" t="s">
        <v>56</v>
      </c>
      <c r="G205" s="44" t="s">
        <v>15</v>
      </c>
      <c r="H205" s="44" t="s">
        <v>15</v>
      </c>
      <c r="I205" s="45" t="str">
        <f>CONCATENATE("SUM(CASE WHEN (MCS.",F205, " IS NULL) THEN 1 ELSE 0 END) AS ",F205,",")</f>
        <v>SUM(CASE WHEN (MCS.CLM_FROM_DT IS NULL) THEN 1 ELSE 0 END) AS CLM_FROM_DT,</v>
      </c>
      <c r="J205" s="43" t="s">
        <v>56</v>
      </c>
      <c r="K205" s="46" t="s">
        <v>861</v>
      </c>
      <c r="L205" s="46">
        <v>0</v>
      </c>
      <c r="M205" s="46">
        <v>135351338</v>
      </c>
      <c r="N205" s="47">
        <f xml:space="preserve"> 1 -O205</f>
        <v>1</v>
      </c>
      <c r="O205" s="48">
        <f>L205/M205</f>
        <v>0</v>
      </c>
      <c r="P205" s="43" t="s">
        <v>56</v>
      </c>
      <c r="Q205" s="48"/>
      <c r="R205" s="48"/>
      <c r="S205" s="54"/>
      <c r="T205" s="48"/>
      <c r="U205" s="48"/>
      <c r="V205" s="43" t="s">
        <v>56</v>
      </c>
      <c r="W205" s="46" t="s">
        <v>861</v>
      </c>
      <c r="X205" s="46" t="s">
        <v>861</v>
      </c>
      <c r="Y205" s="46">
        <v>0</v>
      </c>
      <c r="Z205" s="46">
        <v>0</v>
      </c>
      <c r="AA205" s="46">
        <v>191518</v>
      </c>
      <c r="AB205" s="46">
        <v>146028028</v>
      </c>
      <c r="AC205" s="47">
        <f>1 - AD205</f>
        <v>1</v>
      </c>
      <c r="AD205" s="47">
        <f>Y205/AA205</f>
        <v>0</v>
      </c>
      <c r="AE205" s="47">
        <f>1 - AF205</f>
        <v>1</v>
      </c>
      <c r="AF205" s="47">
        <f>Z205/AB205</f>
        <v>0</v>
      </c>
    </row>
    <row r="206" spans="1:32" ht="96.6" x14ac:dyDescent="0.3">
      <c r="A206" s="34">
        <v>75</v>
      </c>
      <c r="B206" s="43" t="s">
        <v>243</v>
      </c>
      <c r="C206" s="28" t="s">
        <v>244</v>
      </c>
      <c r="D206" s="28" t="s">
        <v>24</v>
      </c>
      <c r="E206" s="28" t="s">
        <v>25</v>
      </c>
      <c r="F206" s="28" t="s">
        <v>244</v>
      </c>
      <c r="G206" s="28" t="s">
        <v>860</v>
      </c>
      <c r="H206" s="28" t="s">
        <v>245</v>
      </c>
      <c r="I206" s="45" t="str">
        <f>CONCATENATE("SUM(CASE WHEN (MCS.",F206," IN (' ', '~') OR MCS.",F206, " IS NULL) THEN 1 ELSE 0 END) AS ",F206,",")</f>
        <v>SUM(CASE WHEN (MCS.CLM_FPS_RSN_CD IN (' ', '~') OR MCS.CLM_FPS_RSN_CD IS NULL) THEN 1 ELSE 0 END) AS CLM_FPS_RSN_CD,</v>
      </c>
      <c r="J206" s="28" t="s">
        <v>244</v>
      </c>
      <c r="K206" s="46" t="s">
        <v>861</v>
      </c>
      <c r="L206" s="46">
        <v>0</v>
      </c>
      <c r="M206" s="46">
        <v>67078797</v>
      </c>
      <c r="N206" s="47">
        <f xml:space="preserve"> 1 -O206</f>
        <v>1</v>
      </c>
      <c r="O206" s="48">
        <f>L206/M206</f>
        <v>0</v>
      </c>
      <c r="P206" s="28" t="s">
        <v>244</v>
      </c>
      <c r="Q206" s="48"/>
      <c r="R206" s="48"/>
      <c r="S206" s="54"/>
      <c r="T206" s="48"/>
      <c r="U206" s="48"/>
      <c r="V206" s="43" t="s">
        <v>244</v>
      </c>
      <c r="W206" s="46" t="s">
        <v>861</v>
      </c>
      <c r="X206" s="46" t="s">
        <v>861</v>
      </c>
      <c r="Y206" s="46">
        <v>0</v>
      </c>
      <c r="Z206" s="46">
        <v>1</v>
      </c>
      <c r="AA206" s="46">
        <v>89974</v>
      </c>
      <c r="AB206" s="46">
        <v>71615601</v>
      </c>
      <c r="AC206" s="47">
        <f>1 - AD206</f>
        <v>1</v>
      </c>
      <c r="AD206" s="47">
        <f>Y206/AA206</f>
        <v>0</v>
      </c>
      <c r="AE206" s="47">
        <f>1 - AF206</f>
        <v>0.99999998603656204</v>
      </c>
      <c r="AF206" s="47">
        <f>Z206/AB206</f>
        <v>1.3963437938613403E-8</v>
      </c>
    </row>
    <row r="207" spans="1:32" ht="96.6" x14ac:dyDescent="0.3">
      <c r="A207" s="34">
        <v>76</v>
      </c>
      <c r="B207" s="43" t="s">
        <v>246</v>
      </c>
      <c r="C207" s="28" t="s">
        <v>247</v>
      </c>
      <c r="D207" s="28" t="s">
        <v>24</v>
      </c>
      <c r="E207" s="28" t="s">
        <v>25</v>
      </c>
      <c r="F207" s="28" t="s">
        <v>247</v>
      </c>
      <c r="G207" s="28" t="s">
        <v>860</v>
      </c>
      <c r="H207" s="28" t="s">
        <v>245</v>
      </c>
      <c r="I207" s="45" t="str">
        <f>CONCATENATE("SUM(CASE WHEN (MCS.",F207," IN (' ', '~') OR MCS.",F207, " IS NULL) THEN 1 ELSE 0 END) AS ",F207,",")</f>
        <v>SUM(CASE WHEN (MCS.CLM_FPS_RMRK_CD IN (' ', '~') OR MCS.CLM_FPS_RMRK_CD IS NULL) THEN 1 ELSE 0 END) AS CLM_FPS_RMRK_CD,</v>
      </c>
      <c r="J207" s="28" t="s">
        <v>247</v>
      </c>
      <c r="K207" s="46" t="s">
        <v>861</v>
      </c>
      <c r="L207" s="46">
        <v>0</v>
      </c>
      <c r="M207" s="46">
        <v>67078797</v>
      </c>
      <c r="N207" s="47">
        <f xml:space="preserve"> 1 -O207</f>
        <v>1</v>
      </c>
      <c r="O207" s="48">
        <f>L207/M207</f>
        <v>0</v>
      </c>
      <c r="P207" s="28" t="s">
        <v>247</v>
      </c>
      <c r="Q207" s="48"/>
      <c r="R207" s="48"/>
      <c r="S207" s="54"/>
      <c r="T207" s="48"/>
      <c r="U207" s="48"/>
      <c r="V207" s="43" t="s">
        <v>247</v>
      </c>
      <c r="W207" s="46" t="s">
        <v>861</v>
      </c>
      <c r="X207" s="46" t="s">
        <v>861</v>
      </c>
      <c r="Y207" s="46">
        <v>0</v>
      </c>
      <c r="Z207" s="46">
        <v>1</v>
      </c>
      <c r="AA207" s="46">
        <v>89974</v>
      </c>
      <c r="AB207" s="46">
        <v>71615601</v>
      </c>
      <c r="AC207" s="47">
        <f>1 - AD207</f>
        <v>1</v>
      </c>
      <c r="AD207" s="47">
        <f>Y207/AA207</f>
        <v>0</v>
      </c>
      <c r="AE207" s="47">
        <f>1 - AF207</f>
        <v>0.99999998603656204</v>
      </c>
      <c r="AF207" s="47">
        <f>Z207/AB207</f>
        <v>1.3963437938613403E-8</v>
      </c>
    </row>
    <row r="208" spans="1:32" ht="96.6" x14ac:dyDescent="0.3">
      <c r="A208" s="34">
        <v>78</v>
      </c>
      <c r="B208" s="43" t="s">
        <v>250</v>
      </c>
      <c r="C208" s="28" t="s">
        <v>251</v>
      </c>
      <c r="D208" s="28" t="s">
        <v>24</v>
      </c>
      <c r="E208" s="28" t="s">
        <v>31</v>
      </c>
      <c r="F208" s="28" t="s">
        <v>251</v>
      </c>
      <c r="G208" s="28" t="s">
        <v>860</v>
      </c>
      <c r="H208" s="44" t="s">
        <v>15</v>
      </c>
      <c r="I208" s="45" t="str">
        <f>CONCATENATE("SUM(CASE WHEN ",F208," IN (' ', '~') OR ",F208, " IS NULL THEN 1 ELSE 0 END) AS ",F208,",")</f>
        <v>SUM(CASE WHEN CLM_FPS_MSN_2_CD IN (' ', '~') OR CLM_FPS_MSN_2_CD IS NULL THEN 1 ELSE 0 END) AS CLM_FPS_MSN_2_CD,</v>
      </c>
      <c r="J208" s="28" t="s">
        <v>251</v>
      </c>
      <c r="K208" s="46" t="s">
        <v>861</v>
      </c>
      <c r="L208" s="46">
        <v>0</v>
      </c>
      <c r="M208" s="46">
        <v>67078797</v>
      </c>
      <c r="N208" s="47">
        <f xml:space="preserve"> 1 -O208</f>
        <v>1</v>
      </c>
      <c r="O208" s="48">
        <f>L208/M208</f>
        <v>0</v>
      </c>
      <c r="P208" s="49" t="s">
        <v>251</v>
      </c>
      <c r="Q208" s="50"/>
      <c r="R208" s="51">
        <v>0</v>
      </c>
      <c r="S208" s="54"/>
      <c r="T208" s="48"/>
      <c r="U208" s="48"/>
      <c r="V208" s="43" t="s">
        <v>251</v>
      </c>
      <c r="W208" s="46" t="s">
        <v>862</v>
      </c>
      <c r="X208" s="46" t="s">
        <v>862</v>
      </c>
      <c r="Y208" s="46">
        <v>89974</v>
      </c>
      <c r="Z208" s="46">
        <v>71615601</v>
      </c>
      <c r="AA208" s="46">
        <v>89974</v>
      </c>
      <c r="AB208" s="46">
        <v>71615601</v>
      </c>
      <c r="AC208" s="47">
        <f>1 - AD208</f>
        <v>0</v>
      </c>
      <c r="AD208" s="47">
        <f>Y208/AA208</f>
        <v>1</v>
      </c>
      <c r="AE208" s="47">
        <f>1 - AF208</f>
        <v>0</v>
      </c>
      <c r="AF208" s="47">
        <f>Z208/AB208</f>
        <v>1</v>
      </c>
    </row>
    <row r="209" spans="1:32" ht="96.6" x14ac:dyDescent="0.3">
      <c r="A209" s="34">
        <v>77</v>
      </c>
      <c r="B209" s="43" t="s">
        <v>248</v>
      </c>
      <c r="C209" s="28" t="s">
        <v>249</v>
      </c>
      <c r="D209" s="28" t="s">
        <v>24</v>
      </c>
      <c r="E209" s="28" t="s">
        <v>31</v>
      </c>
      <c r="F209" s="28" t="s">
        <v>249</v>
      </c>
      <c r="G209" s="28" t="s">
        <v>860</v>
      </c>
      <c r="H209" s="44" t="s">
        <v>15</v>
      </c>
      <c r="I209" s="45" t="str">
        <f>CONCATENATE("SUM(CASE WHEN ",F209," IN (' ', '~') OR ",F209, " IS NULL THEN 1 ELSE 0 END) AS ",F209,",")</f>
        <v>SUM(CASE WHEN CLM_FPS_MSN_1_CD IN (' ', '~') OR CLM_FPS_MSN_1_CD IS NULL THEN 1 ELSE 0 END) AS CLM_FPS_MSN_1_CD,</v>
      </c>
      <c r="J209" s="28" t="s">
        <v>249</v>
      </c>
      <c r="K209" s="46" t="s">
        <v>861</v>
      </c>
      <c r="L209" s="46">
        <v>0</v>
      </c>
      <c r="M209" s="46">
        <v>67078797</v>
      </c>
      <c r="N209" s="47">
        <f xml:space="preserve"> 1 -O209</f>
        <v>1</v>
      </c>
      <c r="O209" s="48">
        <f>L209/M209</f>
        <v>0</v>
      </c>
      <c r="P209" s="49" t="s">
        <v>249</v>
      </c>
      <c r="Q209" s="50"/>
      <c r="R209" s="51">
        <v>0</v>
      </c>
      <c r="S209" s="54"/>
      <c r="T209" s="48"/>
      <c r="U209" s="48"/>
      <c r="V209" s="43" t="s">
        <v>249</v>
      </c>
      <c r="W209" s="46" t="s">
        <v>862</v>
      </c>
      <c r="X209" s="46" t="s">
        <v>862</v>
      </c>
      <c r="Y209" s="46">
        <v>89974</v>
      </c>
      <c r="Z209" s="46">
        <v>71615601</v>
      </c>
      <c r="AA209" s="46">
        <v>89974</v>
      </c>
      <c r="AB209" s="46">
        <v>71615601</v>
      </c>
      <c r="AC209" s="47">
        <f>1 - AD209</f>
        <v>0</v>
      </c>
      <c r="AD209" s="47">
        <f>Y209/AA209</f>
        <v>1</v>
      </c>
      <c r="AE209" s="47">
        <f>1 - AF209</f>
        <v>0</v>
      </c>
      <c r="AF209" s="47">
        <f>Z209/AB209</f>
        <v>1</v>
      </c>
    </row>
    <row r="210" spans="1:32" ht="96.6" x14ac:dyDescent="0.3">
      <c r="A210" s="34">
        <v>74</v>
      </c>
      <c r="B210" s="43" t="s">
        <v>241</v>
      </c>
      <c r="C210" s="28" t="s">
        <v>242</v>
      </c>
      <c r="D210" s="28" t="s">
        <v>24</v>
      </c>
      <c r="E210" s="28" t="s">
        <v>31</v>
      </c>
      <c r="F210" s="28" t="s">
        <v>242</v>
      </c>
      <c r="G210" s="28" t="s">
        <v>860</v>
      </c>
      <c r="H210" s="44" t="s">
        <v>15</v>
      </c>
      <c r="I210" s="45" t="str">
        <f>CONCATENATE("SUM(CASE WHEN ",F210," IN (' ', '~') OR ",F210, " IS NULL THEN 1 ELSE 0 END) AS ",F210,",")</f>
        <v>SUM(CASE WHEN CLM_FPS_MODEL_NUM IN (' ', '~') OR CLM_FPS_MODEL_NUM IS NULL THEN 1 ELSE 0 END) AS CLM_FPS_MODEL_NUM,</v>
      </c>
      <c r="J210" s="28" t="s">
        <v>242</v>
      </c>
      <c r="K210" s="46" t="s">
        <v>861</v>
      </c>
      <c r="L210" s="46">
        <v>0</v>
      </c>
      <c r="M210" s="46">
        <v>67078797</v>
      </c>
      <c r="N210" s="47">
        <f xml:space="preserve"> 1 -O210</f>
        <v>1</v>
      </c>
      <c r="O210" s="48">
        <f>L210/M210</f>
        <v>0</v>
      </c>
      <c r="P210" s="49" t="s">
        <v>242</v>
      </c>
      <c r="Q210" s="50"/>
      <c r="R210" s="51">
        <v>0</v>
      </c>
      <c r="S210" s="54"/>
      <c r="T210" s="48"/>
      <c r="U210" s="48"/>
      <c r="V210" s="43" t="s">
        <v>242</v>
      </c>
      <c r="W210" s="46" t="s">
        <v>862</v>
      </c>
      <c r="X210" s="46" t="s">
        <v>862</v>
      </c>
      <c r="Y210" s="46">
        <v>89974</v>
      </c>
      <c r="Z210" s="46">
        <v>71615601</v>
      </c>
      <c r="AA210" s="46">
        <v>89974</v>
      </c>
      <c r="AB210" s="46">
        <v>71615601</v>
      </c>
      <c r="AC210" s="47">
        <f>1 - AD210</f>
        <v>0</v>
      </c>
      <c r="AD210" s="47">
        <f>Y210/AA210</f>
        <v>1</v>
      </c>
      <c r="AE210" s="47">
        <f>1 - AF210</f>
        <v>0</v>
      </c>
      <c r="AF210" s="47">
        <f>Z210/AB210</f>
        <v>1</v>
      </c>
    </row>
    <row r="211" spans="1:32" ht="69" x14ac:dyDescent="0.3">
      <c r="A211" s="34">
        <v>240</v>
      </c>
      <c r="B211" s="28" t="s">
        <v>802</v>
      </c>
      <c r="C211" s="28" t="s">
        <v>803</v>
      </c>
      <c r="D211" s="28" t="s">
        <v>804</v>
      </c>
      <c r="E211" s="28" t="s">
        <v>31</v>
      </c>
      <c r="F211" s="28" t="s">
        <v>805</v>
      </c>
      <c r="G211" s="44" t="s">
        <v>15</v>
      </c>
      <c r="H211" s="44" t="s">
        <v>15</v>
      </c>
      <c r="I211" s="45" t="str">
        <f>CONCATENATE("SUM(CASE WHEN (",F211, " IS NULL) THEN 1 ELSE 0 END) AS ",F211,",")</f>
        <v>SUM(CASE WHEN (CLM_FFS_IND IS NULL) THEN 1 ELSE 0 END) AS CLM_FFS_IND,</v>
      </c>
      <c r="J211" s="28" t="s">
        <v>805</v>
      </c>
      <c r="K211" s="46" t="s">
        <v>861</v>
      </c>
      <c r="L211" s="46">
        <v>0</v>
      </c>
      <c r="M211" s="46">
        <v>67078797</v>
      </c>
      <c r="N211" s="47">
        <f xml:space="preserve"> 1 -O211</f>
        <v>1</v>
      </c>
      <c r="O211" s="48">
        <f>L211/M211</f>
        <v>0</v>
      </c>
      <c r="P211" s="49" t="s">
        <v>805</v>
      </c>
      <c r="Q211" s="50"/>
      <c r="R211" s="51">
        <v>0</v>
      </c>
      <c r="S211" s="54"/>
      <c r="T211" s="48"/>
      <c r="U211" s="48"/>
      <c r="V211" s="43" t="s">
        <v>805</v>
      </c>
      <c r="W211" s="46" t="s">
        <v>861</v>
      </c>
      <c r="X211" s="46" t="s">
        <v>861</v>
      </c>
      <c r="Y211" s="46">
        <v>0</v>
      </c>
      <c r="Z211" s="46">
        <v>0</v>
      </c>
      <c r="AA211" s="46">
        <v>89974</v>
      </c>
      <c r="AB211" s="46">
        <v>71615601</v>
      </c>
      <c r="AC211" s="47">
        <f>1 - AD211</f>
        <v>1</v>
      </c>
      <c r="AD211" s="47">
        <f>Y211/AA211</f>
        <v>0</v>
      </c>
      <c r="AE211" s="47">
        <f>1 - AF211</f>
        <v>1</v>
      </c>
      <c r="AF211" s="47">
        <f>Z211/AB211</f>
        <v>0</v>
      </c>
    </row>
    <row r="212" spans="1:32" ht="110.4" x14ac:dyDescent="0.3">
      <c r="A212" s="34">
        <v>137</v>
      </c>
      <c r="B212" s="28" t="s">
        <v>450</v>
      </c>
      <c r="C212" s="28" t="s">
        <v>451</v>
      </c>
      <c r="D212" s="28" t="s">
        <v>24</v>
      </c>
      <c r="E212" s="28" t="s">
        <v>436</v>
      </c>
      <c r="F212" s="28" t="s">
        <v>452</v>
      </c>
      <c r="G212" s="44" t="s">
        <v>15</v>
      </c>
      <c r="H212" s="55" t="s">
        <v>15</v>
      </c>
      <c r="I212" s="45" t="str">
        <f>CONCATENATE("SUM(CASE WHEN (MCS.",F212," IN (' ', '~') OR MCS.",F212, " IS NULL) THEN 1 ELSE 0 END) AS ",F212,",")</f>
        <v>SUM(CASE WHEN (MCS.CLM_FED_TYPE_SRVC_CD IN (' ', '~') OR MCS.CLM_FED_TYPE_SRVC_CD IS NULL) THEN 1 ELSE 0 END) AS CLM_FED_TYPE_SRVC_CD,</v>
      </c>
      <c r="J212" s="28" t="s">
        <v>452</v>
      </c>
      <c r="K212" s="46" t="s">
        <v>861</v>
      </c>
      <c r="L212" s="46">
        <v>0</v>
      </c>
      <c r="M212" s="46">
        <v>135449900</v>
      </c>
      <c r="N212" s="47">
        <f xml:space="preserve"> 1 -O212</f>
        <v>1</v>
      </c>
      <c r="O212" s="48">
        <f>L212/M212</f>
        <v>0</v>
      </c>
      <c r="P212" s="28" t="s">
        <v>452</v>
      </c>
      <c r="Q212" s="48"/>
      <c r="R212" s="48"/>
      <c r="S212" s="54"/>
      <c r="T212" s="48"/>
      <c r="U212" s="48"/>
      <c r="V212" s="24" t="s">
        <v>452</v>
      </c>
      <c r="W212" s="58" t="s">
        <v>862</v>
      </c>
      <c r="X212" s="58" t="s">
        <v>862</v>
      </c>
      <c r="Y212" s="57">
        <v>191518</v>
      </c>
      <c r="Z212" s="57">
        <v>146028028</v>
      </c>
      <c r="AA212" s="57">
        <v>191518</v>
      </c>
      <c r="AB212" s="57">
        <v>146028028</v>
      </c>
      <c r="AC212" s="47">
        <f>1 - AD212</f>
        <v>0</v>
      </c>
      <c r="AD212" s="47">
        <f>Y212/AA212</f>
        <v>1</v>
      </c>
      <c r="AE212" s="47">
        <f>1 - AF212</f>
        <v>0</v>
      </c>
      <c r="AF212" s="47">
        <f>Z212/AB212</f>
        <v>1</v>
      </c>
    </row>
    <row r="213" spans="1:32" ht="138" x14ac:dyDescent="0.3">
      <c r="A213" s="34">
        <v>88</v>
      </c>
      <c r="B213" s="28" t="s">
        <v>293</v>
      </c>
      <c r="C213" s="28" t="s">
        <v>294</v>
      </c>
      <c r="D213" s="28" t="s">
        <v>24</v>
      </c>
      <c r="E213" s="28" t="s">
        <v>170</v>
      </c>
      <c r="F213" s="43" t="s">
        <v>295</v>
      </c>
      <c r="G213" s="44" t="s">
        <v>15</v>
      </c>
      <c r="H213" s="44" t="s">
        <v>15</v>
      </c>
      <c r="I213" s="45" t="str">
        <f>CONCATENATE("SUM(CASE WHEN (MCS.",F213," IN (' ', '~') OR MCS.",F213, " IS NULL) THEN 1 ELSE 0 END) AS ",F213,",")</f>
        <v>SUM(CASE WHEN (MCS.CLM_FAC_PRVDR_CPO_OSCAR_NUM IN (' ', '~') OR MCS.CLM_FAC_PRVDR_CPO_OSCAR_NUM IS NULL) THEN 1 ELSE 0 END) AS CLM_FAC_PRVDR_CPO_OSCAR_NUM,</v>
      </c>
      <c r="J213" s="43" t="s">
        <v>295</v>
      </c>
      <c r="K213" s="46" t="s">
        <v>861</v>
      </c>
      <c r="L213" s="46">
        <v>0</v>
      </c>
      <c r="M213" s="46">
        <v>67126071</v>
      </c>
      <c r="N213" s="47">
        <f xml:space="preserve"> 1 -O213</f>
        <v>1</v>
      </c>
      <c r="O213" s="48">
        <f>L213/M213</f>
        <v>0</v>
      </c>
      <c r="P213" s="43" t="s">
        <v>295</v>
      </c>
      <c r="Q213" s="48"/>
      <c r="R213" s="48"/>
      <c r="S213" s="54"/>
      <c r="T213" s="48"/>
      <c r="U213" s="48"/>
      <c r="V213" s="24" t="s">
        <v>295</v>
      </c>
      <c r="W213" s="57" t="s">
        <v>862</v>
      </c>
      <c r="X213" s="57" t="s">
        <v>862</v>
      </c>
      <c r="Y213" s="57">
        <v>89974</v>
      </c>
      <c r="Z213" s="57">
        <v>71615601</v>
      </c>
      <c r="AA213" s="57">
        <v>89974</v>
      </c>
      <c r="AB213" s="57">
        <v>71615601</v>
      </c>
      <c r="AC213" s="47">
        <f>1 - AD213</f>
        <v>0</v>
      </c>
      <c r="AD213" s="47">
        <f>Y213/AA213</f>
        <v>1</v>
      </c>
      <c r="AE213" s="47">
        <f>1 - AF213</f>
        <v>0</v>
      </c>
      <c r="AF213" s="47">
        <f>Z213/AB213</f>
        <v>1</v>
      </c>
    </row>
    <row r="214" spans="1:32" ht="138" x14ac:dyDescent="0.3">
      <c r="A214" s="34">
        <v>89</v>
      </c>
      <c r="B214" s="28" t="s">
        <v>296</v>
      </c>
      <c r="C214" s="28" t="s">
        <v>297</v>
      </c>
      <c r="D214" s="28" t="s">
        <v>24</v>
      </c>
      <c r="E214" s="28" t="s">
        <v>170</v>
      </c>
      <c r="F214" s="43" t="s">
        <v>299</v>
      </c>
      <c r="G214" s="28" t="s">
        <v>860</v>
      </c>
      <c r="H214" s="44" t="s">
        <v>15</v>
      </c>
      <c r="I214" s="45" t="str">
        <f>CONCATENATE("SUM(CASE WHEN (MCS.",F214," IN (' ', '~') OR MCS.",F214, " IS NULL) THEN 1 ELSE 0 END) AS ",F214,",")</f>
        <v>SUM(CASE WHEN (MCS.CLM_FAC_PRVDR_CPO_ORG_NPI_ID IN (' ', '~') OR MCS.CLM_FAC_PRVDR_CPO_ORG_NPI_ID IS NULL) THEN 1 ELSE 0 END) AS CLM_FAC_PRVDR_CPO_ORG_NPI_ID,</v>
      </c>
      <c r="J214" s="43" t="s">
        <v>299</v>
      </c>
      <c r="K214" s="46" t="s">
        <v>861</v>
      </c>
      <c r="L214" s="46">
        <v>0</v>
      </c>
      <c r="M214" s="46">
        <v>67126071</v>
      </c>
      <c r="N214" s="47">
        <f xml:space="preserve"> 1 -O214</f>
        <v>1</v>
      </c>
      <c r="O214" s="48">
        <f>L214/M214</f>
        <v>0</v>
      </c>
      <c r="P214" s="43" t="s">
        <v>299</v>
      </c>
      <c r="Q214" s="48"/>
      <c r="R214" s="48"/>
      <c r="S214" s="54"/>
      <c r="T214" s="48"/>
      <c r="U214" s="48"/>
      <c r="V214" s="24" t="s">
        <v>299</v>
      </c>
      <c r="W214" s="59" t="s">
        <v>861</v>
      </c>
      <c r="X214" s="59" t="s">
        <v>861</v>
      </c>
      <c r="Y214" s="59">
        <v>0</v>
      </c>
      <c r="Z214" s="59">
        <v>0</v>
      </c>
      <c r="AA214" s="57">
        <v>89974</v>
      </c>
      <c r="AB214" s="57">
        <v>71615601</v>
      </c>
      <c r="AC214" s="47">
        <f>1 - AD214</f>
        <v>1</v>
      </c>
      <c r="AD214" s="47">
        <v>0</v>
      </c>
      <c r="AE214" s="47">
        <f>1 - AF214</f>
        <v>1</v>
      </c>
      <c r="AF214" s="47">
        <v>0</v>
      </c>
    </row>
    <row r="215" spans="1:32" ht="110.4" x14ac:dyDescent="0.3">
      <c r="A215" s="34">
        <v>51</v>
      </c>
      <c r="B215" s="28" t="s">
        <v>172</v>
      </c>
      <c r="C215" s="28" t="s">
        <v>173</v>
      </c>
      <c r="D215" s="28" t="s">
        <v>24</v>
      </c>
      <c r="E215" s="28" t="s">
        <v>25</v>
      </c>
      <c r="F215" s="28" t="s">
        <v>174</v>
      </c>
      <c r="G215" s="44" t="s">
        <v>15</v>
      </c>
      <c r="H215" s="44" t="s">
        <v>15</v>
      </c>
      <c r="I215" s="45" t="str">
        <f>CONCATENATE("SUM(CASE WHEN (MCS.",F215," IN (' ', '~') OR MCS.",F215, " IS NULL) THEN 1 ELSE 0 END) AS ",F215,",")</f>
        <v>SUM(CASE WHEN (MCS.CLM_EXCPTD_NEXCPTD_CD IN (' ', '~') OR MCS.CLM_EXCPTD_NEXCPTD_CD IS NULL) THEN 1 ELSE 0 END) AS CLM_EXCPTD_NEXCPTD_CD,</v>
      </c>
      <c r="J215" s="28" t="s">
        <v>174</v>
      </c>
      <c r="K215" s="46" t="s">
        <v>861</v>
      </c>
      <c r="L215" s="46">
        <v>0</v>
      </c>
      <c r="M215" s="46">
        <v>67078797</v>
      </c>
      <c r="N215" s="47">
        <f xml:space="preserve"> 1 -O215</f>
        <v>1</v>
      </c>
      <c r="O215" s="48">
        <f>L215/M215</f>
        <v>0</v>
      </c>
      <c r="P215" s="28" t="s">
        <v>174</v>
      </c>
      <c r="Q215" s="48"/>
      <c r="R215" s="48"/>
      <c r="S215" s="54"/>
      <c r="T215" s="48"/>
      <c r="U215" s="48"/>
      <c r="V215" s="43" t="s">
        <v>174</v>
      </c>
      <c r="W215" s="46" t="s">
        <v>862</v>
      </c>
      <c r="X215" s="46" t="s">
        <v>862</v>
      </c>
      <c r="Y215" s="46">
        <v>89974</v>
      </c>
      <c r="Z215" s="46">
        <v>71615601</v>
      </c>
      <c r="AA215" s="46">
        <v>89974</v>
      </c>
      <c r="AB215" s="46">
        <v>71615601</v>
      </c>
      <c r="AC215" s="47">
        <f>1 - AD215</f>
        <v>0</v>
      </c>
      <c r="AD215" s="47">
        <f>Y215/AA215</f>
        <v>1</v>
      </c>
      <c r="AE215" s="47">
        <f>1 - AF215</f>
        <v>0</v>
      </c>
      <c r="AF215" s="47">
        <f>Z215/AB215</f>
        <v>1</v>
      </c>
    </row>
    <row r="216" spans="1:32" ht="82.8" x14ac:dyDescent="0.3">
      <c r="A216" s="35">
        <v>94</v>
      </c>
      <c r="B216" s="28" t="s">
        <v>314</v>
      </c>
      <c r="C216" s="28" t="s">
        <v>315</v>
      </c>
      <c r="D216" s="28" t="s">
        <v>316</v>
      </c>
      <c r="E216" s="28" t="s">
        <v>317</v>
      </c>
      <c r="F216" s="28" t="s">
        <v>318</v>
      </c>
      <c r="G216" s="44" t="s">
        <v>15</v>
      </c>
      <c r="H216" s="44" t="s">
        <v>15</v>
      </c>
      <c r="I216" s="45" t="str">
        <f>CONCATENATE("SUM(CASE WHEN (",F216, " IS NULL) THEN 1 ELSE 0 END) AS ",F216,",")</f>
        <v>SUM(CASE WHEN (CLM_EDIT_SGNTR_MBR_CNT IS NULL) THEN 1 ELSE 0 END) AS CLM_EDIT_SGNTR_MBR_CNT,</v>
      </c>
      <c r="J216" s="28" t="s">
        <v>318</v>
      </c>
      <c r="K216" s="46" t="s">
        <v>861</v>
      </c>
      <c r="L216" s="46">
        <v>67077146</v>
      </c>
      <c r="M216" s="46">
        <v>67078797</v>
      </c>
      <c r="N216" s="47">
        <f xml:space="preserve"> 1 -O216</f>
        <v>2.4612844502835962E-5</v>
      </c>
      <c r="O216" s="48">
        <f>L216/M216</f>
        <v>0.99997538715549716</v>
      </c>
      <c r="P216" s="28" t="s">
        <v>318</v>
      </c>
      <c r="Q216" s="48"/>
      <c r="R216" s="48"/>
      <c r="S216" s="54"/>
      <c r="T216" s="48"/>
      <c r="U216" s="48"/>
      <c r="V216" s="43" t="s">
        <v>318</v>
      </c>
      <c r="W216" s="46" t="s">
        <v>862</v>
      </c>
      <c r="X216" s="46" t="s">
        <v>862</v>
      </c>
      <c r="Y216" s="46">
        <v>89974</v>
      </c>
      <c r="Z216" s="46">
        <v>71615601</v>
      </c>
      <c r="AA216" s="46">
        <v>89974</v>
      </c>
      <c r="AB216" s="46">
        <v>71615601</v>
      </c>
      <c r="AC216" s="47">
        <f>1 - AD216</f>
        <v>0</v>
      </c>
      <c r="AD216" s="47">
        <f>Y216/AA216</f>
        <v>1</v>
      </c>
      <c r="AE216" s="47">
        <f>1 - AF216</f>
        <v>0</v>
      </c>
      <c r="AF216" s="47">
        <f>Z216/AB216</f>
        <v>1</v>
      </c>
    </row>
    <row r="217" spans="1:32" ht="96.6" x14ac:dyDescent="0.3">
      <c r="A217" s="34">
        <v>183</v>
      </c>
      <c r="B217" s="28" t="s">
        <v>587</v>
      </c>
      <c r="C217" s="28" t="s">
        <v>588</v>
      </c>
      <c r="D217" s="28" t="s">
        <v>24</v>
      </c>
      <c r="E217" s="28" t="s">
        <v>436</v>
      </c>
      <c r="F217" s="28" t="s">
        <v>589</v>
      </c>
      <c r="G217" s="44" t="s">
        <v>15</v>
      </c>
      <c r="H217" s="44" t="s">
        <v>15</v>
      </c>
      <c r="I217" s="45" t="str">
        <f>CONCATENATE("SUM(CASE WHEN (MCS.",F217," IN (' ', '~') OR MCS.",F217, " IS NULL) THEN 1 ELSE 0 END) AS ",F217,",")</f>
        <v>SUM(CASE WHEN (MCS.CLM_DUP_CHK_IND_CD IN (' ', '~') OR MCS.CLM_DUP_CHK_IND_CD IS NULL) THEN 1 ELSE 0 END) AS CLM_DUP_CHK_IND_CD,</v>
      </c>
      <c r="J217" s="28" t="s">
        <v>589</v>
      </c>
      <c r="K217" s="46" t="s">
        <v>861</v>
      </c>
      <c r="L217" s="46">
        <v>0</v>
      </c>
      <c r="M217" s="46">
        <v>135449900</v>
      </c>
      <c r="N217" s="47">
        <f xml:space="preserve"> 1 -O217</f>
        <v>1</v>
      </c>
      <c r="O217" s="48">
        <f>L217/M217</f>
        <v>0</v>
      </c>
      <c r="P217" s="28" t="s">
        <v>589</v>
      </c>
      <c r="Q217" s="48"/>
      <c r="R217" s="48"/>
      <c r="S217" s="54"/>
      <c r="T217" s="48"/>
      <c r="U217" s="48"/>
      <c r="V217" s="24" t="s">
        <v>589</v>
      </c>
      <c r="W217" s="58" t="s">
        <v>862</v>
      </c>
      <c r="X217" s="58" t="s">
        <v>862</v>
      </c>
      <c r="Y217" s="57">
        <v>191518</v>
      </c>
      <c r="Z217" s="57">
        <v>146028028</v>
      </c>
      <c r="AA217" s="57">
        <v>191518</v>
      </c>
      <c r="AB217" s="57">
        <v>146028028</v>
      </c>
      <c r="AC217" s="47">
        <f>1 - AD217</f>
        <v>0</v>
      </c>
      <c r="AD217" s="47">
        <f>Y217/AA217</f>
        <v>1</v>
      </c>
      <c r="AE217" s="47">
        <f>1 - AF217</f>
        <v>0</v>
      </c>
      <c r="AF217" s="47">
        <f>Z217/AB217</f>
        <v>1</v>
      </c>
    </row>
    <row r="218" spans="1:32" ht="110.4" x14ac:dyDescent="0.3">
      <c r="A218" s="34">
        <v>242</v>
      </c>
      <c r="B218" s="28" t="s">
        <v>808</v>
      </c>
      <c r="C218" s="28" t="s">
        <v>803</v>
      </c>
      <c r="D218" s="28" t="s">
        <v>809</v>
      </c>
      <c r="E218" s="28" t="s">
        <v>31</v>
      </c>
      <c r="F218" s="28" t="s">
        <v>810</v>
      </c>
      <c r="G218" s="44" t="s">
        <v>15</v>
      </c>
      <c r="H218" s="44" t="s">
        <v>15</v>
      </c>
      <c r="I218" s="45" t="str">
        <f>CONCATENATE("SUM(CASE WHEN (",F218, " IS NULL) THEN 1 ELSE 0 END) AS ",F218,",")</f>
        <v>SUM(CASE WHEN (CLM_DRVD_HDR_IND IS NULL) THEN 1 ELSE 0 END) AS CLM_DRVD_HDR_IND,</v>
      </c>
      <c r="J218" s="28" t="s">
        <v>810</v>
      </c>
      <c r="K218" s="46" t="s">
        <v>861</v>
      </c>
      <c r="L218" s="46">
        <v>0</v>
      </c>
      <c r="M218" s="46">
        <v>67078797</v>
      </c>
      <c r="N218" s="47">
        <f xml:space="preserve"> 1 -O218</f>
        <v>1</v>
      </c>
      <c r="O218" s="48">
        <f>L218/M218</f>
        <v>0</v>
      </c>
      <c r="P218" s="49" t="s">
        <v>810</v>
      </c>
      <c r="Q218" s="50"/>
      <c r="R218" s="51">
        <v>0</v>
      </c>
      <c r="S218" s="54"/>
      <c r="T218" s="48"/>
      <c r="U218" s="48"/>
      <c r="V218" s="43" t="s">
        <v>810</v>
      </c>
      <c r="W218" s="46" t="s">
        <v>861</v>
      </c>
      <c r="X218" s="46" t="s">
        <v>861</v>
      </c>
      <c r="Y218" s="46">
        <v>0</v>
      </c>
      <c r="Z218" s="46">
        <v>0</v>
      </c>
      <c r="AA218" s="46">
        <v>89974</v>
      </c>
      <c r="AB218" s="46">
        <v>71615601</v>
      </c>
      <c r="AC218" s="47">
        <f>1 - AD218</f>
        <v>1</v>
      </c>
      <c r="AD218" s="47">
        <f>Y218/AA218</f>
        <v>0</v>
      </c>
      <c r="AE218" s="47">
        <f>1 - AF218</f>
        <v>1</v>
      </c>
      <c r="AF218" s="47">
        <f>Z218/AB218</f>
        <v>0</v>
      </c>
    </row>
    <row r="219" spans="1:32" ht="110.4" x14ac:dyDescent="0.3">
      <c r="A219" s="34">
        <v>185</v>
      </c>
      <c r="B219" s="28" t="s">
        <v>598</v>
      </c>
      <c r="C219" s="28" t="s">
        <v>599</v>
      </c>
      <c r="D219" s="43" t="s">
        <v>602</v>
      </c>
      <c r="E219" s="43" t="s">
        <v>436</v>
      </c>
      <c r="F219" s="43" t="s">
        <v>603</v>
      </c>
      <c r="G219" s="43" t="s">
        <v>860</v>
      </c>
      <c r="H219" s="44" t="s">
        <v>15</v>
      </c>
      <c r="I219" s="45" t="str">
        <f>CONCATENATE("SUM(CASE WHEN (MCS.",F219," IN (' ', '~') OR MCS.",F219, " IS NULL) THEN 1 ELSE 0 END) AS ",F219,",")</f>
        <v>SUM(CASE WHEN (MCS.CLM_DROP_OFF_ZIP5_CD IN (' ', '~') OR MCS.CLM_DROP_OFF_ZIP5_CD IS NULL) THEN 1 ELSE 0 END) AS CLM_DROP_OFF_ZIP5_CD,</v>
      </c>
      <c r="J219" s="43" t="s">
        <v>603</v>
      </c>
      <c r="K219" s="46" t="s">
        <v>861</v>
      </c>
      <c r="L219" s="46">
        <v>0</v>
      </c>
      <c r="M219" s="46">
        <v>135449900</v>
      </c>
      <c r="N219" s="47">
        <f xml:space="preserve"> 1 -O219</f>
        <v>1</v>
      </c>
      <c r="O219" s="48">
        <f>L219/M219</f>
        <v>0</v>
      </c>
      <c r="P219" s="43" t="s">
        <v>603</v>
      </c>
      <c r="Q219" s="48"/>
      <c r="R219" s="48"/>
      <c r="S219" s="54"/>
      <c r="T219" s="48"/>
      <c r="U219" s="48"/>
      <c r="V219" s="24" t="s">
        <v>603</v>
      </c>
      <c r="W219" s="53" t="s">
        <v>861</v>
      </c>
      <c r="X219" s="53" t="s">
        <v>861</v>
      </c>
      <c r="Y219" s="59" t="s">
        <v>908</v>
      </c>
      <c r="Z219" s="59">
        <v>2</v>
      </c>
      <c r="AA219" s="57">
        <v>191518</v>
      </c>
      <c r="AB219" s="57">
        <v>146028028</v>
      </c>
      <c r="AC219" s="47">
        <f>1-AD219%</f>
        <v>1</v>
      </c>
      <c r="AD219" s="47">
        <v>0</v>
      </c>
      <c r="AE219" s="47">
        <f>1 - AF219</f>
        <v>0.99999998630399911</v>
      </c>
      <c r="AF219" s="47">
        <f>Z219/AB219</f>
        <v>1.3696000880050233E-8</v>
      </c>
    </row>
    <row r="220" spans="1:32" ht="69" x14ac:dyDescent="0.3">
      <c r="A220" s="34">
        <v>29</v>
      </c>
      <c r="B220" s="28" t="s">
        <v>97</v>
      </c>
      <c r="C220" s="28" t="s">
        <v>98</v>
      </c>
      <c r="D220" s="28" t="s">
        <v>24</v>
      </c>
      <c r="E220" s="28" t="s">
        <v>31</v>
      </c>
      <c r="F220" s="28" t="s">
        <v>99</v>
      </c>
      <c r="G220" s="55" t="s">
        <v>15</v>
      </c>
      <c r="H220" s="44" t="s">
        <v>15</v>
      </c>
      <c r="I220" s="45" t="str">
        <f>CONCATENATE("SUM(CASE WHEN ",F220," IN (' ', '~') OR ",F220, " IS NULL THEN 1 ELSE 0 END) AS ",F220,",")</f>
        <v>SUM(CASE WHEN CLM_DISP_CD IN (' ', '~') OR CLM_DISP_CD IS NULL THEN 1 ELSE 0 END) AS CLM_DISP_CD,</v>
      </c>
      <c r="J220" s="28" t="s">
        <v>99</v>
      </c>
      <c r="K220" s="46" t="s">
        <v>861</v>
      </c>
      <c r="L220" s="46">
        <v>0</v>
      </c>
      <c r="M220" s="46">
        <v>67078797</v>
      </c>
      <c r="N220" s="47">
        <f xml:space="preserve"> 1 -O220</f>
        <v>1</v>
      </c>
      <c r="O220" s="48">
        <f>L220/M220</f>
        <v>0</v>
      </c>
      <c r="P220" s="49" t="s">
        <v>99</v>
      </c>
      <c r="Q220" s="50"/>
      <c r="R220" s="51">
        <v>0</v>
      </c>
      <c r="S220" s="54"/>
      <c r="T220" s="48"/>
      <c r="U220" s="48"/>
      <c r="V220" s="43" t="s">
        <v>99</v>
      </c>
      <c r="W220" s="46" t="s">
        <v>862</v>
      </c>
      <c r="X220" s="46" t="s">
        <v>862</v>
      </c>
      <c r="Y220" s="46">
        <v>89974</v>
      </c>
      <c r="Z220" s="46">
        <v>71615601</v>
      </c>
      <c r="AA220" s="46">
        <v>89974</v>
      </c>
      <c r="AB220" s="46">
        <v>71615601</v>
      </c>
      <c r="AC220" s="47">
        <f>1 - AD220</f>
        <v>0</v>
      </c>
      <c r="AD220" s="47">
        <f>Y220/AA220</f>
        <v>1</v>
      </c>
      <c r="AE220" s="47">
        <f>1 - AF220</f>
        <v>0</v>
      </c>
      <c r="AF220" s="47">
        <f>Z220/AB220</f>
        <v>1</v>
      </c>
    </row>
    <row r="221" spans="1:32" ht="82.8" x14ac:dyDescent="0.3">
      <c r="A221" s="35">
        <v>97</v>
      </c>
      <c r="B221" s="28" t="s">
        <v>327</v>
      </c>
      <c r="C221" s="28" t="s">
        <v>328</v>
      </c>
      <c r="D221" s="28" t="s">
        <v>329</v>
      </c>
      <c r="E221" s="43" t="s">
        <v>162</v>
      </c>
      <c r="F221" s="43" t="s">
        <v>330</v>
      </c>
      <c r="G221" s="55" t="s">
        <v>15</v>
      </c>
      <c r="H221" s="44" t="s">
        <v>15</v>
      </c>
      <c r="I221" s="45" t="str">
        <f>CONCATENATE("SUM(CASE WHEN (",F221, " IS NULL) THEN 1 ELSE 0 END) AS ",F221,",")</f>
        <v>SUM(CASE WHEN (CLM_DGNS_TOT_OCRNC_CNT IS NULL) THEN 1 ELSE 0 END) AS CLM_DGNS_TOT_OCRNC_CNT,</v>
      </c>
      <c r="J221" s="43" t="s">
        <v>330</v>
      </c>
      <c r="K221" s="46" t="s">
        <v>861</v>
      </c>
      <c r="L221" s="46">
        <v>0</v>
      </c>
      <c r="M221" s="46">
        <v>67126071</v>
      </c>
      <c r="N221" s="47">
        <f xml:space="preserve"> 1 -O221</f>
        <v>1</v>
      </c>
      <c r="O221" s="48">
        <f>L221/M221</f>
        <v>0</v>
      </c>
      <c r="P221" s="43" t="s">
        <v>330</v>
      </c>
      <c r="Q221" s="48"/>
      <c r="R221" s="48"/>
      <c r="S221" s="54"/>
      <c r="T221" s="48"/>
      <c r="U221" s="48"/>
      <c r="V221" s="43" t="s">
        <v>330</v>
      </c>
      <c r="W221" s="46" t="s">
        <v>861</v>
      </c>
      <c r="X221" s="46" t="s">
        <v>861</v>
      </c>
      <c r="Y221" s="46">
        <v>0</v>
      </c>
      <c r="Z221" s="46">
        <v>0</v>
      </c>
      <c r="AA221" s="46">
        <v>89974</v>
      </c>
      <c r="AB221" s="46">
        <v>71615601</v>
      </c>
      <c r="AC221" s="47">
        <f>1 - AD221</f>
        <v>1</v>
      </c>
      <c r="AD221" s="47">
        <f>Y221/AA221</f>
        <v>0</v>
      </c>
      <c r="AE221" s="47">
        <f>1 - AF221</f>
        <v>1</v>
      </c>
      <c r="AF221" s="47">
        <f>Z221/AB221</f>
        <v>0</v>
      </c>
    </row>
    <row r="222" spans="1:32" ht="124.2" x14ac:dyDescent="0.3">
      <c r="A222" s="34">
        <v>48</v>
      </c>
      <c r="B222" s="43" t="s">
        <v>157</v>
      </c>
      <c r="C222" s="28" t="s">
        <v>158</v>
      </c>
      <c r="D222" s="43" t="s">
        <v>159</v>
      </c>
      <c r="E222" s="43" t="s">
        <v>160</v>
      </c>
      <c r="F222" s="43" t="s">
        <v>161</v>
      </c>
      <c r="G222" s="28" t="s">
        <v>860</v>
      </c>
      <c r="H222" s="44" t="s">
        <v>15</v>
      </c>
      <c r="I222" s="45" t="str">
        <f>CONCATENATE("SUM(CASE WHEN (MCS.",F222, " IS NULL) THEN 1 ELSE 0 END) AS ",F222,",")</f>
        <v>SUM(CASE WHEN (MCS.CLM_DGNS_PRCDR_ICD_IND IS NULL) THEN 1 ELSE 0 END) AS CLM_DGNS_PRCDR_ICD_IND,</v>
      </c>
      <c r="J222" s="43" t="s">
        <v>161</v>
      </c>
      <c r="K222" s="46" t="s">
        <v>861</v>
      </c>
      <c r="L222" s="46">
        <v>0</v>
      </c>
      <c r="M222" s="46">
        <v>278640750</v>
      </c>
      <c r="N222" s="47">
        <f xml:space="preserve"> 1 -O222</f>
        <v>1</v>
      </c>
      <c r="O222" s="48">
        <f>L222/M222</f>
        <v>0</v>
      </c>
      <c r="P222" s="43" t="s">
        <v>161</v>
      </c>
      <c r="Q222" s="48"/>
      <c r="R222" s="48"/>
      <c r="S222" s="54"/>
      <c r="T222" s="48"/>
      <c r="U222" s="48"/>
      <c r="V222" s="43" t="s">
        <v>161</v>
      </c>
      <c r="W222" s="46" t="s">
        <v>862</v>
      </c>
      <c r="X222" s="46" t="s">
        <v>862</v>
      </c>
      <c r="Y222" s="46">
        <v>391019</v>
      </c>
      <c r="Z222" s="46">
        <v>302337803</v>
      </c>
      <c r="AA222" s="57">
        <v>391019</v>
      </c>
      <c r="AB222" s="57">
        <v>302337803</v>
      </c>
      <c r="AC222" s="47">
        <f>1 - AD222</f>
        <v>0</v>
      </c>
      <c r="AD222" s="47">
        <f>Y222/AA222</f>
        <v>1</v>
      </c>
      <c r="AE222" s="47">
        <f>1 - AF222</f>
        <v>0</v>
      </c>
      <c r="AF222" s="47">
        <f>Z222/AB222</f>
        <v>1</v>
      </c>
    </row>
    <row r="223" spans="1:32" ht="165.6" x14ac:dyDescent="0.3">
      <c r="A223" s="34">
        <v>120</v>
      </c>
      <c r="B223" s="43" t="s">
        <v>390</v>
      </c>
      <c r="C223" s="28" t="s">
        <v>391</v>
      </c>
      <c r="D223" s="28" t="s">
        <v>392</v>
      </c>
      <c r="E223" s="43" t="s">
        <v>160</v>
      </c>
      <c r="F223" s="43" t="s">
        <v>161</v>
      </c>
      <c r="G223" s="28" t="s">
        <v>860</v>
      </c>
      <c r="H223" s="44" t="s">
        <v>15</v>
      </c>
      <c r="I223" s="45" t="str">
        <f>CONCATENATE("SUM(CASE WHEN (MCS.",F223, " IS NULL) THEN 1 ELSE 0 END) AS ",F223,",")</f>
        <v>SUM(CASE WHEN (MCS.CLM_DGNS_PRCDR_ICD_IND IS NULL) THEN 1 ELSE 0 END) AS CLM_DGNS_PRCDR_ICD_IND,</v>
      </c>
      <c r="J223" s="43" t="s">
        <v>161</v>
      </c>
      <c r="K223" s="46" t="s">
        <v>861</v>
      </c>
      <c r="L223" s="46">
        <v>0</v>
      </c>
      <c r="M223" s="46">
        <v>278640750</v>
      </c>
      <c r="N223" s="47">
        <f xml:space="preserve"> 1 -O223</f>
        <v>1</v>
      </c>
      <c r="O223" s="48">
        <f>L223/M223</f>
        <v>0</v>
      </c>
      <c r="P223" s="43" t="s">
        <v>161</v>
      </c>
      <c r="Q223" s="48"/>
      <c r="R223" s="48"/>
      <c r="S223" s="54"/>
      <c r="T223" s="48"/>
      <c r="U223" s="48"/>
      <c r="V223" s="43" t="s">
        <v>161</v>
      </c>
      <c r="W223" s="46" t="s">
        <v>862</v>
      </c>
      <c r="X223" s="46" t="s">
        <v>862</v>
      </c>
      <c r="Y223" s="46">
        <v>391019</v>
      </c>
      <c r="Z223" s="46">
        <v>302337803</v>
      </c>
      <c r="AA223" s="57">
        <v>391019</v>
      </c>
      <c r="AB223" s="57">
        <v>302337803</v>
      </c>
      <c r="AC223" s="47">
        <f>1 - AD223</f>
        <v>0</v>
      </c>
      <c r="AD223" s="47">
        <f>Y223/AA223</f>
        <v>1</v>
      </c>
      <c r="AE223" s="47">
        <f>1 - AF223</f>
        <v>0</v>
      </c>
      <c r="AF223" s="47">
        <f>Z223/AB223</f>
        <v>1</v>
      </c>
    </row>
    <row r="224" spans="1:32" ht="82.8" x14ac:dyDescent="0.3">
      <c r="A224" s="34">
        <v>48</v>
      </c>
      <c r="B224" s="43" t="s">
        <v>157</v>
      </c>
      <c r="C224" s="28" t="s">
        <v>158</v>
      </c>
      <c r="D224" s="28" t="s">
        <v>24</v>
      </c>
      <c r="E224" s="43" t="s">
        <v>162</v>
      </c>
      <c r="F224" s="43" t="s">
        <v>161</v>
      </c>
      <c r="G224" s="28" t="s">
        <v>860</v>
      </c>
      <c r="H224" s="44" t="s">
        <v>15</v>
      </c>
      <c r="I224" s="45" t="str">
        <f>CONCATENATE("SUM(CASE WHEN (MCS.",F224, " IS NULL) THEN 1 ELSE 0 END) AS ",F224,",")</f>
        <v>SUM(CASE WHEN (MCS.CLM_DGNS_PRCDR_ICD_IND IS NULL) THEN 1 ELSE 0 END) AS CLM_DGNS_PRCDR_ICD_IND,</v>
      </c>
      <c r="J224" s="43" t="s">
        <v>161</v>
      </c>
      <c r="K224" s="46" t="s">
        <v>861</v>
      </c>
      <c r="L224" s="46">
        <v>0</v>
      </c>
      <c r="M224" s="46">
        <v>67126071</v>
      </c>
      <c r="N224" s="47">
        <f xml:space="preserve"> 1 -O224</f>
        <v>1</v>
      </c>
      <c r="O224" s="48">
        <f>L224/M224</f>
        <v>0</v>
      </c>
      <c r="P224" s="43" t="s">
        <v>161</v>
      </c>
      <c r="Q224" s="48"/>
      <c r="R224" s="48"/>
      <c r="S224" s="54"/>
      <c r="T224" s="48"/>
      <c r="U224" s="48"/>
      <c r="V224" s="43" t="s">
        <v>161</v>
      </c>
      <c r="W224" s="46" t="s">
        <v>861</v>
      </c>
      <c r="X224" s="46" t="s">
        <v>861</v>
      </c>
      <c r="Y224" s="46">
        <v>0</v>
      </c>
      <c r="Z224" s="46">
        <v>0</v>
      </c>
      <c r="AA224" s="46">
        <v>89974</v>
      </c>
      <c r="AB224" s="46">
        <v>71615601</v>
      </c>
      <c r="AC224" s="47">
        <f>1 - AD224</f>
        <v>1</v>
      </c>
      <c r="AD224" s="47">
        <f>Y224/AA224</f>
        <v>0</v>
      </c>
      <c r="AE224" s="47">
        <f>1 - AF224</f>
        <v>1</v>
      </c>
      <c r="AF224" s="47">
        <f>Z224/AB224</f>
        <v>0</v>
      </c>
    </row>
    <row r="225" spans="1:32" ht="82.8" x14ac:dyDescent="0.3">
      <c r="A225" s="34">
        <v>120</v>
      </c>
      <c r="B225" s="43" t="s">
        <v>390</v>
      </c>
      <c r="C225" s="28" t="s">
        <v>391</v>
      </c>
      <c r="D225" s="28" t="s">
        <v>24</v>
      </c>
      <c r="E225" s="43" t="s">
        <v>162</v>
      </c>
      <c r="F225" s="43" t="s">
        <v>161</v>
      </c>
      <c r="G225" s="28" t="s">
        <v>860</v>
      </c>
      <c r="H225" s="44" t="s">
        <v>15</v>
      </c>
      <c r="I225" s="45" t="str">
        <f>CONCATENATE("SUM(CASE WHEN (MCS.",F225, " IS NULL) THEN 1 ELSE 0 END) AS ",F225,",")</f>
        <v>SUM(CASE WHEN (MCS.CLM_DGNS_PRCDR_ICD_IND IS NULL) THEN 1 ELSE 0 END) AS CLM_DGNS_PRCDR_ICD_IND,</v>
      </c>
      <c r="J225" s="43" t="s">
        <v>161</v>
      </c>
      <c r="K225" s="46" t="s">
        <v>861</v>
      </c>
      <c r="L225" s="46">
        <v>0</v>
      </c>
      <c r="M225" s="46">
        <v>67126071</v>
      </c>
      <c r="N225" s="47">
        <f xml:space="preserve"> 1 -O225</f>
        <v>1</v>
      </c>
      <c r="O225" s="48">
        <f>L225/M225</f>
        <v>0</v>
      </c>
      <c r="P225" s="43" t="s">
        <v>161</v>
      </c>
      <c r="Q225" s="48"/>
      <c r="R225" s="48"/>
      <c r="S225" s="54"/>
      <c r="T225" s="48"/>
      <c r="U225" s="48"/>
      <c r="V225" s="43" t="s">
        <v>161</v>
      </c>
      <c r="W225" s="46" t="s">
        <v>861</v>
      </c>
      <c r="X225" s="46" t="s">
        <v>861</v>
      </c>
      <c r="Y225" s="46">
        <v>0</v>
      </c>
      <c r="Z225" s="46">
        <v>0</v>
      </c>
      <c r="AA225" s="46">
        <v>89974</v>
      </c>
      <c r="AB225" s="46">
        <v>71615601</v>
      </c>
      <c r="AC225" s="47">
        <f>1 - AD225</f>
        <v>1</v>
      </c>
      <c r="AD225" s="47">
        <f>Y225/AA225</f>
        <v>0</v>
      </c>
      <c r="AE225" s="47">
        <f>1 - AF225</f>
        <v>1</v>
      </c>
      <c r="AF225" s="47">
        <f>Z225/AB225</f>
        <v>0</v>
      </c>
    </row>
    <row r="226" spans="1:32" ht="124.2" x14ac:dyDescent="0.3">
      <c r="A226" s="34">
        <v>49</v>
      </c>
      <c r="B226" s="43" t="s">
        <v>163</v>
      </c>
      <c r="C226" s="28" t="s">
        <v>164</v>
      </c>
      <c r="D226" s="43" t="s">
        <v>159</v>
      </c>
      <c r="E226" s="43" t="s">
        <v>160</v>
      </c>
      <c r="F226" s="43" t="s">
        <v>165</v>
      </c>
      <c r="G226" s="44" t="s">
        <v>15</v>
      </c>
      <c r="H226" s="44" t="s">
        <v>15</v>
      </c>
      <c r="I226" s="45" t="str">
        <f>CONCATENATE("SUM(CASE WHEN (MCS.",F226," IN (' ', '~') OR MCS.",F226, " IS NULL) THEN 1 ELSE 0 END) AS ",F226,",")</f>
        <v>SUM(CASE WHEN (MCS.CLM_DGNS_CD IN (' ', '~') OR MCS.CLM_DGNS_CD IS NULL) THEN 1 ELSE 0 END) AS CLM_DGNS_CD,</v>
      </c>
      <c r="J226" s="43" t="s">
        <v>165</v>
      </c>
      <c r="K226" s="46" t="s">
        <v>861</v>
      </c>
      <c r="L226" s="46">
        <v>0</v>
      </c>
      <c r="M226" s="46">
        <v>278640750</v>
      </c>
      <c r="N226" s="47">
        <f xml:space="preserve"> 1 -O226</f>
        <v>1</v>
      </c>
      <c r="O226" s="48">
        <f>L226/M226</f>
        <v>0</v>
      </c>
      <c r="P226" s="43" t="s">
        <v>165</v>
      </c>
      <c r="Q226" s="48"/>
      <c r="R226" s="48"/>
      <c r="S226" s="54"/>
      <c r="T226" s="48"/>
      <c r="U226" s="48"/>
      <c r="V226" s="43" t="s">
        <v>165</v>
      </c>
      <c r="W226" s="46" t="s">
        <v>862</v>
      </c>
      <c r="X226" s="46" t="s">
        <v>862</v>
      </c>
      <c r="Y226" s="46">
        <v>391019</v>
      </c>
      <c r="Z226" s="46">
        <v>302337803</v>
      </c>
      <c r="AA226" s="57">
        <v>391019</v>
      </c>
      <c r="AB226" s="57">
        <v>302337803</v>
      </c>
      <c r="AC226" s="47">
        <f>1 - AD226</f>
        <v>0</v>
      </c>
      <c r="AD226" s="47">
        <f>Y226/AA226</f>
        <v>1</v>
      </c>
      <c r="AE226" s="47">
        <f>1 - AF226</f>
        <v>0</v>
      </c>
      <c r="AF226" s="47">
        <f>Z226/AB226</f>
        <v>1</v>
      </c>
    </row>
    <row r="227" spans="1:32" ht="165.6" x14ac:dyDescent="0.3">
      <c r="A227" s="34">
        <v>121</v>
      </c>
      <c r="B227" s="43" t="s">
        <v>393</v>
      </c>
      <c r="C227" s="28" t="s">
        <v>394</v>
      </c>
      <c r="D227" s="28" t="s">
        <v>392</v>
      </c>
      <c r="E227" s="43" t="s">
        <v>160</v>
      </c>
      <c r="F227" s="43" t="s">
        <v>165</v>
      </c>
      <c r="G227" s="44" t="s">
        <v>15</v>
      </c>
      <c r="H227" s="44" t="s">
        <v>15</v>
      </c>
      <c r="I227" s="45" t="str">
        <f>CONCATENATE("SUM(CASE WHEN (MCS.",F227," IN (' ', '~') OR MCS.",F227, " IS NULL) THEN 1 ELSE 0 END) AS ",F227,",")</f>
        <v>SUM(CASE WHEN (MCS.CLM_DGNS_CD IN (' ', '~') OR MCS.CLM_DGNS_CD IS NULL) THEN 1 ELSE 0 END) AS CLM_DGNS_CD,</v>
      </c>
      <c r="J227" s="43" t="s">
        <v>165</v>
      </c>
      <c r="K227" s="46" t="s">
        <v>861</v>
      </c>
      <c r="L227" s="46">
        <v>0</v>
      </c>
      <c r="M227" s="46">
        <v>278640750</v>
      </c>
      <c r="N227" s="47">
        <f xml:space="preserve"> 1 -O227</f>
        <v>1</v>
      </c>
      <c r="O227" s="48">
        <f>L227/M227</f>
        <v>0</v>
      </c>
      <c r="P227" s="43" t="s">
        <v>165</v>
      </c>
      <c r="Q227" s="48"/>
      <c r="R227" s="48"/>
      <c r="S227" s="54"/>
      <c r="T227" s="48"/>
      <c r="U227" s="48"/>
      <c r="V227" s="43" t="s">
        <v>165</v>
      </c>
      <c r="W227" s="46" t="s">
        <v>862</v>
      </c>
      <c r="X227" s="46" t="s">
        <v>862</v>
      </c>
      <c r="Y227" s="46">
        <v>391019</v>
      </c>
      <c r="Z227" s="46">
        <v>302337803</v>
      </c>
      <c r="AA227" s="57">
        <v>391019</v>
      </c>
      <c r="AB227" s="57">
        <v>302337803</v>
      </c>
      <c r="AC227" s="47">
        <f>1 - AD227</f>
        <v>0</v>
      </c>
      <c r="AD227" s="47">
        <f>Y227/AA227</f>
        <v>1</v>
      </c>
      <c r="AE227" s="47">
        <f>1 - AF227</f>
        <v>0</v>
      </c>
      <c r="AF227" s="47">
        <f>Z227/AB227</f>
        <v>1</v>
      </c>
    </row>
    <row r="228" spans="1:32" ht="138" x14ac:dyDescent="0.3">
      <c r="A228" s="34">
        <v>121</v>
      </c>
      <c r="B228" s="43" t="s">
        <v>393</v>
      </c>
      <c r="C228" s="28" t="s">
        <v>394</v>
      </c>
      <c r="D228" s="28" t="s">
        <v>395</v>
      </c>
      <c r="E228" s="43" t="s">
        <v>162</v>
      </c>
      <c r="F228" s="43" t="s">
        <v>919</v>
      </c>
      <c r="G228" s="44"/>
      <c r="H228" s="44"/>
      <c r="I228" s="45" t="str">
        <f>CONCATENATE("SUM(CASE WHEN (MCS.",F228," IN (' ', '~') OR MCS.",F228, " IS NULL) THEN 1 ELSE 0 END) AS ",F228,",")</f>
        <v>SUM(CASE WHEN (MCS.CLM_DGNS_9_CD IN (' ', '~') OR MCS.CLM_DGNS_9_CD IS NULL) THEN 1 ELSE 0 END) AS CLM_DGNS_9_CD,</v>
      </c>
      <c r="J228" s="43" t="s">
        <v>919</v>
      </c>
      <c r="K228" s="46" t="s">
        <v>861</v>
      </c>
      <c r="L228" s="46">
        <v>63516228</v>
      </c>
      <c r="M228" s="46">
        <v>67126071</v>
      </c>
      <c r="N228" s="47">
        <f xml:space="preserve"> 1 -O228</f>
        <v>5.3777063758133514E-2</v>
      </c>
      <c r="O228" s="48">
        <f>L228/M228</f>
        <v>0.94622293624186649</v>
      </c>
      <c r="P228" s="43" t="s">
        <v>919</v>
      </c>
      <c r="Q228" s="48"/>
      <c r="R228" s="48"/>
      <c r="S228" s="54"/>
      <c r="T228" s="48"/>
      <c r="U228" s="48"/>
      <c r="V228" s="43" t="s">
        <v>919</v>
      </c>
      <c r="W228" s="46" t="s">
        <v>861</v>
      </c>
      <c r="X228" s="46" t="s">
        <v>861</v>
      </c>
      <c r="Y228" s="46">
        <v>83067</v>
      </c>
      <c r="Z228" s="46">
        <v>67449322</v>
      </c>
      <c r="AA228" s="46">
        <v>89974</v>
      </c>
      <c r="AB228" s="46">
        <v>71615601</v>
      </c>
      <c r="AC228" s="47">
        <f>1 - AD228</f>
        <v>7.6766621468424168E-2</v>
      </c>
      <c r="AD228" s="47">
        <f>Y228/AA228</f>
        <v>0.92323337853157583</v>
      </c>
      <c r="AE228" s="47">
        <f>1 - AF228</f>
        <v>5.8175578251448368E-2</v>
      </c>
      <c r="AF228" s="47">
        <f>Z228/AB228</f>
        <v>0.94182442174855163</v>
      </c>
    </row>
    <row r="229" spans="1:32" ht="138" x14ac:dyDescent="0.3">
      <c r="A229" s="34">
        <v>121</v>
      </c>
      <c r="B229" s="43" t="s">
        <v>393</v>
      </c>
      <c r="C229" s="28" t="s">
        <v>394</v>
      </c>
      <c r="D229" s="28" t="s">
        <v>395</v>
      </c>
      <c r="E229" s="43" t="s">
        <v>162</v>
      </c>
      <c r="F229" s="43" t="s">
        <v>918</v>
      </c>
      <c r="G229" s="44"/>
      <c r="H229" s="44"/>
      <c r="I229" s="45" t="str">
        <f>CONCATENATE("SUM(CASE WHEN (MCS.",F229," IN (' ', '~') OR MCS.",F229, " IS NULL) THEN 1 ELSE 0 END) AS ",F229,",")</f>
        <v>SUM(CASE WHEN (MCS.CLM_DGNS_8_CD IN (' ', '~') OR MCS.CLM_DGNS_8_CD IS NULL) THEN 1 ELSE 0 END) AS CLM_DGNS_8_CD,</v>
      </c>
      <c r="J229" s="43" t="s">
        <v>918</v>
      </c>
      <c r="K229" s="46" t="s">
        <v>861</v>
      </c>
      <c r="L229" s="46">
        <v>62061792</v>
      </c>
      <c r="M229" s="46">
        <v>67126071</v>
      </c>
      <c r="N229" s="47">
        <f xml:space="preserve"> 1 -O229</f>
        <v>7.54442934698204E-2</v>
      </c>
      <c r="O229" s="48">
        <f>L229/M229</f>
        <v>0.9245557065301796</v>
      </c>
      <c r="P229" s="43" t="s">
        <v>918</v>
      </c>
      <c r="Q229" s="48"/>
      <c r="R229" s="48"/>
      <c r="S229" s="54"/>
      <c r="T229" s="48"/>
      <c r="U229" s="48"/>
      <c r="V229" s="43" t="s">
        <v>918</v>
      </c>
      <c r="W229" s="46" t="s">
        <v>861</v>
      </c>
      <c r="X229" s="46" t="s">
        <v>861</v>
      </c>
      <c r="Y229" s="46">
        <v>80914</v>
      </c>
      <c r="Z229" s="46">
        <v>65821560</v>
      </c>
      <c r="AA229" s="46">
        <v>89974</v>
      </c>
      <c r="AB229" s="46">
        <v>71615601</v>
      </c>
      <c r="AC229" s="47">
        <f>1 - AD229</f>
        <v>0.10069575655189278</v>
      </c>
      <c r="AD229" s="47">
        <f>Y229/AA229</f>
        <v>0.89930424344810722</v>
      </c>
      <c r="AE229" s="47">
        <f>1 - AF229</f>
        <v>8.0904731917281536E-2</v>
      </c>
      <c r="AF229" s="47">
        <f>Z229/AB229</f>
        <v>0.91909526808271846</v>
      </c>
    </row>
    <row r="230" spans="1:32" ht="138" x14ac:dyDescent="0.3">
      <c r="A230" s="34">
        <v>121</v>
      </c>
      <c r="B230" s="43" t="s">
        <v>393</v>
      </c>
      <c r="C230" s="28" t="s">
        <v>394</v>
      </c>
      <c r="D230" s="28" t="s">
        <v>395</v>
      </c>
      <c r="E230" s="43" t="s">
        <v>162</v>
      </c>
      <c r="F230" s="43" t="s">
        <v>917</v>
      </c>
      <c r="G230" s="44"/>
      <c r="H230" s="44"/>
      <c r="I230" s="45" t="str">
        <f>CONCATENATE("SUM(CASE WHEN (MCS.",F230," IN (' ', '~') OR MCS.",F230, " IS NULL) THEN 1 ELSE 0 END) AS ",F230,",")</f>
        <v>SUM(CASE WHEN (MCS.CLM_DGNS_7_CD IN (' ', '~') OR MCS.CLM_DGNS_7_CD IS NULL) THEN 1 ELSE 0 END) AS CLM_DGNS_7_CD,</v>
      </c>
      <c r="J230" s="43" t="s">
        <v>917</v>
      </c>
      <c r="K230" s="46" t="s">
        <v>861</v>
      </c>
      <c r="L230" s="46">
        <v>60250400</v>
      </c>
      <c r="M230" s="46">
        <v>67126071</v>
      </c>
      <c r="N230" s="47">
        <f xml:space="preserve"> 1 -O230</f>
        <v>0.10242921859675058</v>
      </c>
      <c r="O230" s="48">
        <f>L230/M230</f>
        <v>0.89757078140324942</v>
      </c>
      <c r="P230" s="43" t="s">
        <v>917</v>
      </c>
      <c r="Q230" s="48"/>
      <c r="R230" s="48"/>
      <c r="S230" s="54"/>
      <c r="T230" s="48"/>
      <c r="U230" s="48"/>
      <c r="V230" s="43" t="s">
        <v>917</v>
      </c>
      <c r="W230" s="46" t="s">
        <v>861</v>
      </c>
      <c r="X230" s="46" t="s">
        <v>861</v>
      </c>
      <c r="Y230" s="46">
        <v>78487</v>
      </c>
      <c r="Z230" s="46">
        <v>63799326</v>
      </c>
      <c r="AA230" s="46">
        <v>89974</v>
      </c>
      <c r="AB230" s="46">
        <v>71615601</v>
      </c>
      <c r="AC230" s="47">
        <f>1 - AD230</f>
        <v>0.12767021584013161</v>
      </c>
      <c r="AD230" s="47">
        <f>Y230/AA230</f>
        <v>0.87232978415986839</v>
      </c>
      <c r="AE230" s="47">
        <f>1 - AF230</f>
        <v>0.10914207087363548</v>
      </c>
      <c r="AF230" s="47">
        <f>Z230/AB230</f>
        <v>0.89085792912636452</v>
      </c>
    </row>
    <row r="231" spans="1:32" ht="138" x14ac:dyDescent="0.3">
      <c r="A231" s="34">
        <v>121</v>
      </c>
      <c r="B231" s="43" t="s">
        <v>393</v>
      </c>
      <c r="C231" s="28" t="s">
        <v>394</v>
      </c>
      <c r="D231" s="28" t="s">
        <v>395</v>
      </c>
      <c r="E231" s="43" t="s">
        <v>162</v>
      </c>
      <c r="F231" s="43" t="s">
        <v>916</v>
      </c>
      <c r="G231" s="44"/>
      <c r="H231" s="44"/>
      <c r="I231" s="45" t="str">
        <f>CONCATENATE("SUM(CASE WHEN (MCS.",F231," IN (' ', '~') OR MCS.",F231, " IS NULL) THEN 1 ELSE 0 END) AS ",F231,",")</f>
        <v>SUM(CASE WHEN (MCS.CLM_DGNS_6_CD IN (' ', '~') OR MCS.CLM_DGNS_6_CD IS NULL) THEN 1 ELSE 0 END) AS CLM_DGNS_6_CD,</v>
      </c>
      <c r="J231" s="43" t="s">
        <v>916</v>
      </c>
      <c r="K231" s="46" t="s">
        <v>861</v>
      </c>
      <c r="L231" s="46">
        <v>57511899</v>
      </c>
      <c r="M231" s="46">
        <v>67126071</v>
      </c>
      <c r="N231" s="47">
        <f xml:space="preserve"> 1 -O231</f>
        <v>0.14322560305965171</v>
      </c>
      <c r="O231" s="48">
        <f>L231/M231</f>
        <v>0.85677439694034829</v>
      </c>
      <c r="P231" s="43" t="s">
        <v>916</v>
      </c>
      <c r="Q231" s="48"/>
      <c r="R231" s="48"/>
      <c r="S231" s="54"/>
      <c r="T231" s="48"/>
      <c r="U231" s="48"/>
      <c r="V231" s="43" t="s">
        <v>916</v>
      </c>
      <c r="W231" s="46" t="s">
        <v>861</v>
      </c>
      <c r="X231" s="46" t="s">
        <v>861</v>
      </c>
      <c r="Y231" s="46">
        <v>74857</v>
      </c>
      <c r="Z231" s="46">
        <v>60783350</v>
      </c>
      <c r="AA231" s="46">
        <v>89974</v>
      </c>
      <c r="AB231" s="46">
        <v>71615601</v>
      </c>
      <c r="AC231" s="47">
        <f>1 - AD231</f>
        <v>0.16801520439238005</v>
      </c>
      <c r="AD231" s="47">
        <f>Y231/AA231</f>
        <v>0.83198479560761995</v>
      </c>
      <c r="AE231" s="47">
        <f>1 - AF231</f>
        <v>0.15125546457398298</v>
      </c>
      <c r="AF231" s="47">
        <f>Z231/AB231</f>
        <v>0.84874453542601702</v>
      </c>
    </row>
    <row r="232" spans="1:32" ht="138" x14ac:dyDescent="0.3">
      <c r="A232" s="34">
        <v>121</v>
      </c>
      <c r="B232" s="43" t="s">
        <v>393</v>
      </c>
      <c r="C232" s="28" t="s">
        <v>394</v>
      </c>
      <c r="D232" s="28" t="s">
        <v>395</v>
      </c>
      <c r="E232" s="43" t="s">
        <v>162</v>
      </c>
      <c r="F232" s="43" t="s">
        <v>915</v>
      </c>
      <c r="G232" s="44"/>
      <c r="H232" s="44"/>
      <c r="I232" s="45" t="str">
        <f>CONCATENATE("SUM(CASE WHEN (MCS.",F232," IN (' ', '~') OR MCS.",F232, " IS NULL) THEN 1 ELSE 0 END) AS ",F232,",")</f>
        <v>SUM(CASE WHEN (MCS.CLM_DGNS_5_CD IN (' ', '~') OR MCS.CLM_DGNS_5_CD IS NULL) THEN 1 ELSE 0 END) AS CLM_DGNS_5_CD,</v>
      </c>
      <c r="J232" s="43" t="s">
        <v>915</v>
      </c>
      <c r="K232" s="46" t="s">
        <v>861</v>
      </c>
      <c r="L232" s="46">
        <v>53674764</v>
      </c>
      <c r="M232" s="46">
        <v>67126071</v>
      </c>
      <c r="N232" s="47">
        <f xml:space="preserve"> 1 -O232</f>
        <v>0.2003887133510317</v>
      </c>
      <c r="O232" s="48">
        <f>L232/M232</f>
        <v>0.7996112866489683</v>
      </c>
      <c r="P232" s="43" t="s">
        <v>915</v>
      </c>
      <c r="Q232" s="48"/>
      <c r="R232" s="48"/>
      <c r="S232" s="54"/>
      <c r="T232" s="48"/>
      <c r="U232" s="48"/>
      <c r="V232" s="43" t="s">
        <v>915</v>
      </c>
      <c r="W232" s="46" t="s">
        <v>861</v>
      </c>
      <c r="X232" s="46" t="s">
        <v>861</v>
      </c>
      <c r="Y232" s="46">
        <v>70181</v>
      </c>
      <c r="Z232" s="46">
        <v>56591601</v>
      </c>
      <c r="AA232" s="46">
        <v>89974</v>
      </c>
      <c r="AB232" s="46">
        <v>71615601</v>
      </c>
      <c r="AC232" s="47">
        <f>1 - AD232</f>
        <v>0.21998577366794847</v>
      </c>
      <c r="AD232" s="47">
        <f>Y232/AA232</f>
        <v>0.78001422633205153</v>
      </c>
      <c r="AE232" s="47">
        <f>1 - AF232</f>
        <v>0.20978669158972774</v>
      </c>
      <c r="AF232" s="47">
        <f>Z232/AB232</f>
        <v>0.79021330841027226</v>
      </c>
    </row>
    <row r="233" spans="1:32" ht="138" x14ac:dyDescent="0.3">
      <c r="A233" s="34">
        <v>121</v>
      </c>
      <c r="B233" s="43" t="s">
        <v>393</v>
      </c>
      <c r="C233" s="28" t="s">
        <v>394</v>
      </c>
      <c r="D233" s="28" t="s">
        <v>395</v>
      </c>
      <c r="E233" s="43" t="s">
        <v>162</v>
      </c>
      <c r="F233" s="43" t="s">
        <v>914</v>
      </c>
      <c r="G233" s="44"/>
      <c r="H233" s="44"/>
      <c r="I233" s="45" t="str">
        <f>CONCATENATE("SUM(CASE WHEN (MCS.",F233," IN (' ', '~') OR MCS.",F233, " IS NULL) THEN 1 ELSE 0 END) AS ",F233,",")</f>
        <v>SUM(CASE WHEN (MCS.CLM_DGNS_4_CD IN (' ', '~') OR MCS.CLM_DGNS_4_CD IS NULL) THEN 1 ELSE 0 END) AS CLM_DGNS_4_CD,</v>
      </c>
      <c r="J233" s="43" t="s">
        <v>914</v>
      </c>
      <c r="K233" s="46" t="s">
        <v>861</v>
      </c>
      <c r="L233" s="46">
        <v>44426421</v>
      </c>
      <c r="M233" s="46">
        <v>67126071</v>
      </c>
      <c r="N233" s="47">
        <f xml:space="preserve"> 1 -O233</f>
        <v>0.33816443688473885</v>
      </c>
      <c r="O233" s="48">
        <f>L233/M233</f>
        <v>0.66183556311526115</v>
      </c>
      <c r="P233" s="43" t="s">
        <v>914</v>
      </c>
      <c r="Q233" s="48"/>
      <c r="R233" s="48"/>
      <c r="S233" s="54"/>
      <c r="T233" s="48"/>
      <c r="U233" s="48"/>
      <c r="V233" s="43" t="s">
        <v>914</v>
      </c>
      <c r="W233" s="46" t="s">
        <v>861</v>
      </c>
      <c r="X233" s="46" t="s">
        <v>861</v>
      </c>
      <c r="Y233" s="46">
        <v>57567</v>
      </c>
      <c r="Z233" s="46">
        <v>46624946</v>
      </c>
      <c r="AA233" s="46">
        <v>89974</v>
      </c>
      <c r="AB233" s="46">
        <v>71615601</v>
      </c>
      <c r="AC233" s="47">
        <f>1 - AD233</f>
        <v>0.36018183030653295</v>
      </c>
      <c r="AD233" s="47">
        <f>Y233/AA233</f>
        <v>0.63981816969346705</v>
      </c>
      <c r="AE233" s="47">
        <f>1 - AF233</f>
        <v>0.34895546013779877</v>
      </c>
      <c r="AF233" s="47">
        <f>Z233/AB233</f>
        <v>0.65104453986220123</v>
      </c>
    </row>
    <row r="234" spans="1:32" ht="138" x14ac:dyDescent="0.3">
      <c r="A234" s="34">
        <v>121</v>
      </c>
      <c r="B234" s="43" t="s">
        <v>393</v>
      </c>
      <c r="C234" s="28" t="s">
        <v>394</v>
      </c>
      <c r="D234" s="28" t="s">
        <v>395</v>
      </c>
      <c r="E234" s="43" t="s">
        <v>162</v>
      </c>
      <c r="F234" s="43" t="s">
        <v>913</v>
      </c>
      <c r="G234" s="44"/>
      <c r="H234" s="44"/>
      <c r="I234" s="45" t="str">
        <f>CONCATENATE("SUM(CASE WHEN (MCS.",F234," IN (' ', '~') OR MCS.",F234, " IS NULL) THEN 1 ELSE 0 END) AS ",F234,",")</f>
        <v>SUM(CASE WHEN (MCS.CLM_DGNS_3_CD IN (' ', '~') OR MCS.CLM_DGNS_3_CD IS NULL) THEN 1 ELSE 0 END) AS CLM_DGNS_3_CD,</v>
      </c>
      <c r="J234" s="43" t="s">
        <v>913</v>
      </c>
      <c r="K234" s="46" t="s">
        <v>861</v>
      </c>
      <c r="L234" s="46">
        <v>35268923</v>
      </c>
      <c r="M234" s="46">
        <v>67126071</v>
      </c>
      <c r="N234" s="47">
        <f xml:space="preserve"> 1 -O234</f>
        <v>0.47458681143426373</v>
      </c>
      <c r="O234" s="48">
        <f>L234/M234</f>
        <v>0.52541318856573627</v>
      </c>
      <c r="P234" s="43" t="s">
        <v>913</v>
      </c>
      <c r="Q234" s="48"/>
      <c r="R234" s="48"/>
      <c r="S234" s="54"/>
      <c r="T234" s="48"/>
      <c r="U234" s="48"/>
      <c r="V234" s="43" t="s">
        <v>913</v>
      </c>
      <c r="W234" s="46" t="s">
        <v>861</v>
      </c>
      <c r="X234" s="46" t="s">
        <v>861</v>
      </c>
      <c r="Y234" s="46">
        <v>46142</v>
      </c>
      <c r="Z234" s="46">
        <v>36888761</v>
      </c>
      <c r="AA234" s="46">
        <v>89974</v>
      </c>
      <c r="AB234" s="46">
        <v>71615601</v>
      </c>
      <c r="AC234" s="47">
        <f>1 - AD234</f>
        <v>0.48716295818792099</v>
      </c>
      <c r="AD234" s="47">
        <f>Y234/AA234</f>
        <v>0.51283704181207901</v>
      </c>
      <c r="AE234" s="47">
        <f>1 - AF234</f>
        <v>0.48490607514415751</v>
      </c>
      <c r="AF234" s="47">
        <f>Z234/AB234</f>
        <v>0.51509392485584249</v>
      </c>
    </row>
    <row r="235" spans="1:32" ht="138" x14ac:dyDescent="0.3">
      <c r="A235" s="34">
        <v>121</v>
      </c>
      <c r="B235" s="43" t="s">
        <v>393</v>
      </c>
      <c r="C235" s="28" t="s">
        <v>394</v>
      </c>
      <c r="D235" s="28" t="s">
        <v>395</v>
      </c>
      <c r="E235" s="43" t="s">
        <v>162</v>
      </c>
      <c r="F235" s="43" t="s">
        <v>912</v>
      </c>
      <c r="G235" s="44"/>
      <c r="H235" s="44"/>
      <c r="I235" s="45" t="str">
        <f>CONCATENATE("SUM(CASE WHEN (MCS.",F235," IN (' ', '~') OR MCS.",F235, " IS NULL) THEN 1 ELSE 0 END) AS ",F235,",")</f>
        <v>SUM(CASE WHEN (MCS.CLM_DGNS_2_CD IN (' ', '~') OR MCS.CLM_DGNS_2_CD IS NULL) THEN 1 ELSE 0 END) AS CLM_DGNS_2_CD,</v>
      </c>
      <c r="J235" s="43" t="s">
        <v>912</v>
      </c>
      <c r="K235" s="46" t="s">
        <v>861</v>
      </c>
      <c r="L235" s="46">
        <v>22020720</v>
      </c>
      <c r="M235" s="46">
        <v>67126071</v>
      </c>
      <c r="N235" s="47">
        <f xml:space="preserve"> 1 -O235</f>
        <v>0.67194981514708352</v>
      </c>
      <c r="O235" s="48">
        <f>L235/M235</f>
        <v>0.32805018485291654</v>
      </c>
      <c r="P235" s="43" t="s">
        <v>912</v>
      </c>
      <c r="Q235" s="48"/>
      <c r="R235" s="48"/>
      <c r="S235" s="54"/>
      <c r="T235" s="48"/>
      <c r="U235" s="48"/>
      <c r="V235" s="43" t="s">
        <v>912</v>
      </c>
      <c r="W235" s="46" t="s">
        <v>861</v>
      </c>
      <c r="X235" s="46" t="s">
        <v>861</v>
      </c>
      <c r="Y235" s="46">
        <v>29395</v>
      </c>
      <c r="Z235" s="46">
        <v>22954739</v>
      </c>
      <c r="AA235" s="46">
        <v>89974</v>
      </c>
      <c r="AB235" s="46">
        <v>71615601</v>
      </c>
      <c r="AC235" s="47">
        <f>1 - AD235</f>
        <v>0.67329450730210949</v>
      </c>
      <c r="AD235" s="47">
        <f>Y235/AA235</f>
        <v>0.32670549269789051</v>
      </c>
      <c r="AE235" s="47">
        <f>1 - AF235</f>
        <v>0.67947292657643132</v>
      </c>
      <c r="AF235" s="47">
        <f>Z235/AB235</f>
        <v>0.32052707342356868</v>
      </c>
    </row>
    <row r="236" spans="1:32" ht="138" x14ac:dyDescent="0.3">
      <c r="A236" s="34">
        <v>121</v>
      </c>
      <c r="B236" s="43" t="s">
        <v>393</v>
      </c>
      <c r="C236" s="28" t="s">
        <v>394</v>
      </c>
      <c r="D236" s="28" t="s">
        <v>395</v>
      </c>
      <c r="E236" s="43" t="s">
        <v>162</v>
      </c>
      <c r="F236" s="43" t="s">
        <v>911</v>
      </c>
      <c r="G236" s="44"/>
      <c r="H236" s="44"/>
      <c r="I236" s="45" t="str">
        <f>CONCATENATE("SUM(CASE WHEN (MCS.",F236," IN (' ', '~') OR MCS.",F236, " IS NULL) THEN 1 ELSE 0 END) AS ",F236,",")</f>
        <v>SUM(CASE WHEN (MCS.CLM_DGNS_10_CD IN (' ', '~') OR MCS.CLM_DGNS_10_CD IS NULL) THEN 1 ELSE 0 END) AS CLM_DGNS_10_CD,</v>
      </c>
      <c r="J236" s="43" t="s">
        <v>911</v>
      </c>
      <c r="K236" s="46" t="s">
        <v>861</v>
      </c>
      <c r="L236" s="46">
        <v>64436287</v>
      </c>
      <c r="M236" s="46">
        <v>67126071</v>
      </c>
      <c r="N236" s="47">
        <f xml:space="preserve"> 1 -O236</f>
        <v>4.0070630679397312E-2</v>
      </c>
      <c r="O236" s="48">
        <f>L236/M236</f>
        <v>0.95992936932060269</v>
      </c>
      <c r="P236" s="43" t="s">
        <v>911</v>
      </c>
      <c r="Q236" s="48"/>
      <c r="R236" s="48"/>
      <c r="S236" s="54"/>
      <c r="T236" s="48"/>
      <c r="U236" s="48"/>
      <c r="V236" s="43" t="s">
        <v>911</v>
      </c>
      <c r="W236" s="46" t="s">
        <v>861</v>
      </c>
      <c r="X236" s="46" t="s">
        <v>861</v>
      </c>
      <c r="Y236" s="46">
        <v>84471</v>
      </c>
      <c r="Z236" s="46">
        <v>68499331</v>
      </c>
      <c r="AA236" s="46">
        <v>89974</v>
      </c>
      <c r="AB236" s="46">
        <v>71615601</v>
      </c>
      <c r="AC236" s="47">
        <f>1 - AD236</f>
        <v>6.1162113499455439E-2</v>
      </c>
      <c r="AD236" s="47">
        <f>Y236/AA236</f>
        <v>0.93883788650054456</v>
      </c>
      <c r="AE236" s="47">
        <f>1 - AF236</f>
        <v>4.3513842744962838E-2</v>
      </c>
      <c r="AF236" s="47">
        <f>Z236/AB236</f>
        <v>0.95648615725503716</v>
      </c>
    </row>
    <row r="237" spans="1:32" ht="138" x14ac:dyDescent="0.3">
      <c r="A237" s="34">
        <v>121</v>
      </c>
      <c r="B237" s="43" t="s">
        <v>393</v>
      </c>
      <c r="C237" s="28" t="s">
        <v>394</v>
      </c>
      <c r="D237" s="28" t="s">
        <v>395</v>
      </c>
      <c r="E237" s="43" t="s">
        <v>162</v>
      </c>
      <c r="F237" s="43" t="s">
        <v>910</v>
      </c>
      <c r="G237" s="44" t="s">
        <v>15</v>
      </c>
      <c r="H237" s="44" t="s">
        <v>15</v>
      </c>
      <c r="I237" s="45" t="str">
        <f>CONCATENATE("SUM(CASE WHEN (MCS.",F237," IN (' ', '~') OR MCS.",F237, " IS NULL) THEN 1 ELSE 0 END) AS ",F237,",")</f>
        <v>SUM(CASE WHEN (MCS.CLM_DGNS_1_CD IN (' ', '~') OR MCS.CLM_DGNS_1_CD IS NULL) THEN 1 ELSE 0 END) AS CLM_DGNS_1_CD,</v>
      </c>
      <c r="J237" s="43" t="s">
        <v>910</v>
      </c>
      <c r="K237" s="46" t="s">
        <v>861</v>
      </c>
      <c r="L237" s="46">
        <v>0</v>
      </c>
      <c r="M237" s="46">
        <v>67126071</v>
      </c>
      <c r="N237" s="47">
        <f xml:space="preserve"> 1 -O237</f>
        <v>1</v>
      </c>
      <c r="O237" s="48">
        <f>L237/M237</f>
        <v>0</v>
      </c>
      <c r="P237" s="43" t="s">
        <v>910</v>
      </c>
      <c r="Q237" s="48"/>
      <c r="R237" s="48"/>
      <c r="S237" s="54"/>
      <c r="T237" s="48"/>
      <c r="U237" s="48"/>
      <c r="V237" s="43" t="s">
        <v>910</v>
      </c>
      <c r="W237" s="46" t="s">
        <v>861</v>
      </c>
      <c r="X237" s="46" t="s">
        <v>861</v>
      </c>
      <c r="Y237" s="46">
        <v>672</v>
      </c>
      <c r="Z237" s="46">
        <v>2447</v>
      </c>
      <c r="AA237" s="46">
        <v>89974</v>
      </c>
      <c r="AB237" s="46">
        <v>71615601</v>
      </c>
      <c r="AC237" s="47">
        <f>1 - AD237</f>
        <v>0.99253117567297222</v>
      </c>
      <c r="AD237" s="47">
        <f>Y237/AA237</f>
        <v>7.4688243270278083E-3</v>
      </c>
      <c r="AE237" s="47">
        <f>1 - AF237</f>
        <v>0.99996583146736417</v>
      </c>
      <c r="AF237" s="47">
        <f>Z237/AB237</f>
        <v>3.4168532635787E-5</v>
      </c>
    </row>
    <row r="238" spans="1:32" ht="165.6" x14ac:dyDescent="0.3">
      <c r="A238" s="34">
        <v>117</v>
      </c>
      <c r="B238" s="43" t="s">
        <v>383</v>
      </c>
      <c r="C238" s="28" t="s">
        <v>384</v>
      </c>
      <c r="D238" s="28" t="s">
        <v>385</v>
      </c>
      <c r="E238" s="43" t="s">
        <v>25</v>
      </c>
      <c r="F238" s="43" t="s">
        <v>877</v>
      </c>
      <c r="G238" s="28"/>
      <c r="H238" s="44"/>
      <c r="I238" s="45" t="str">
        <f>CONCATENATE("SUM(CASE WHEN (MCS.",F238, " IS NULL) THEN 1 ELSE 0 END) AS ",F238,",")</f>
        <v>SUM(CASE WHEN (MCS.CLM_DEMO_INFO_5_DESC IS NULL) THEN 1 ELSE 0 END) AS CLM_DEMO_INFO_5_DESC,</v>
      </c>
      <c r="J238" s="43" t="s">
        <v>877</v>
      </c>
      <c r="K238" s="46" t="s">
        <v>861</v>
      </c>
      <c r="L238" s="46">
        <v>0</v>
      </c>
      <c r="M238" s="46">
        <v>67078797</v>
      </c>
      <c r="N238" s="47">
        <f xml:space="preserve"> 1 -O238</f>
        <v>1</v>
      </c>
      <c r="O238" s="48">
        <f>L238/M238</f>
        <v>0</v>
      </c>
      <c r="P238" s="43" t="s">
        <v>877</v>
      </c>
      <c r="Q238" s="48"/>
      <c r="R238" s="48"/>
      <c r="S238" s="54"/>
      <c r="T238" s="48"/>
      <c r="U238" s="48"/>
      <c r="V238" s="43" t="s">
        <v>877</v>
      </c>
      <c r="W238" s="46" t="s">
        <v>862</v>
      </c>
      <c r="X238" s="46" t="s">
        <v>862</v>
      </c>
      <c r="Y238" s="46">
        <v>89974</v>
      </c>
      <c r="Z238" s="46">
        <v>71615601</v>
      </c>
      <c r="AA238" s="46">
        <v>89974</v>
      </c>
      <c r="AB238" s="46">
        <v>71615601</v>
      </c>
      <c r="AC238" s="47">
        <f>1 - AD238</f>
        <v>0</v>
      </c>
      <c r="AD238" s="47">
        <f>Y238/AA238</f>
        <v>1</v>
      </c>
      <c r="AE238" s="47">
        <f>1 - AF238</f>
        <v>0</v>
      </c>
      <c r="AF238" s="47">
        <f>Z238/AB238</f>
        <v>1</v>
      </c>
    </row>
    <row r="239" spans="1:32" ht="165.6" x14ac:dyDescent="0.3">
      <c r="A239" s="34">
        <v>117</v>
      </c>
      <c r="B239" s="43" t="s">
        <v>383</v>
      </c>
      <c r="C239" s="28" t="s">
        <v>384</v>
      </c>
      <c r="D239" s="28" t="s">
        <v>385</v>
      </c>
      <c r="E239" s="43" t="s">
        <v>25</v>
      </c>
      <c r="F239" s="43" t="s">
        <v>876</v>
      </c>
      <c r="G239" s="28"/>
      <c r="H239" s="44"/>
      <c r="I239" s="45" t="str">
        <f>CONCATENATE("SUM(CASE WHEN (MCS.",F239, " IS NULL) THEN 1 ELSE 0 END) AS ",F239,",")</f>
        <v>SUM(CASE WHEN (MCS.CLM_DEMO_INFO_4_DESC IS NULL) THEN 1 ELSE 0 END) AS CLM_DEMO_INFO_4_DESC,</v>
      </c>
      <c r="J239" s="43" t="s">
        <v>876</v>
      </c>
      <c r="K239" s="46" t="s">
        <v>861</v>
      </c>
      <c r="L239" s="46">
        <v>0</v>
      </c>
      <c r="M239" s="46">
        <v>67078797</v>
      </c>
      <c r="N239" s="47">
        <f xml:space="preserve"> 1 -O239</f>
        <v>1</v>
      </c>
      <c r="O239" s="48">
        <f>L239/M239</f>
        <v>0</v>
      </c>
      <c r="P239" s="43" t="s">
        <v>876</v>
      </c>
      <c r="Q239" s="48"/>
      <c r="R239" s="48"/>
      <c r="S239" s="54"/>
      <c r="T239" s="48"/>
      <c r="U239" s="48"/>
      <c r="V239" s="43" t="s">
        <v>876</v>
      </c>
      <c r="W239" s="46" t="s">
        <v>862</v>
      </c>
      <c r="X239" s="46" t="s">
        <v>862</v>
      </c>
      <c r="Y239" s="46">
        <v>89974</v>
      </c>
      <c r="Z239" s="46">
        <v>71615601</v>
      </c>
      <c r="AA239" s="46">
        <v>89974</v>
      </c>
      <c r="AB239" s="46">
        <v>71615601</v>
      </c>
      <c r="AC239" s="47">
        <f>1 - AD239</f>
        <v>0</v>
      </c>
      <c r="AD239" s="47">
        <f>Y239/AA239</f>
        <v>1</v>
      </c>
      <c r="AE239" s="47">
        <f>1 - AF239</f>
        <v>0</v>
      </c>
      <c r="AF239" s="47">
        <f>Z239/AB239</f>
        <v>1</v>
      </c>
    </row>
    <row r="240" spans="1:32" ht="165.6" x14ac:dyDescent="0.3">
      <c r="A240" s="34">
        <v>117</v>
      </c>
      <c r="B240" s="43" t="s">
        <v>383</v>
      </c>
      <c r="C240" s="28" t="s">
        <v>384</v>
      </c>
      <c r="D240" s="28" t="s">
        <v>385</v>
      </c>
      <c r="E240" s="43" t="s">
        <v>25</v>
      </c>
      <c r="F240" s="43" t="s">
        <v>875</v>
      </c>
      <c r="G240" s="28"/>
      <c r="H240" s="44"/>
      <c r="I240" s="45" t="str">
        <f>CONCATENATE("SUM(CASE WHEN (MCS.",F240, " IS NULL) THEN 1 ELSE 0 END) AS ",F240,",")</f>
        <v>SUM(CASE WHEN (MCS.CLM_DEMO_INFO_3_DESC IS NULL) THEN 1 ELSE 0 END) AS CLM_DEMO_INFO_3_DESC,</v>
      </c>
      <c r="J240" s="43" t="s">
        <v>875</v>
      </c>
      <c r="K240" s="46" t="s">
        <v>861</v>
      </c>
      <c r="L240" s="46">
        <v>0</v>
      </c>
      <c r="M240" s="46">
        <v>67078797</v>
      </c>
      <c r="N240" s="47">
        <f xml:space="preserve"> 1 -O240</f>
        <v>1</v>
      </c>
      <c r="O240" s="48">
        <f>L240/M240</f>
        <v>0</v>
      </c>
      <c r="P240" s="43" t="s">
        <v>875</v>
      </c>
      <c r="Q240" s="48"/>
      <c r="R240" s="48"/>
      <c r="S240" s="54"/>
      <c r="T240" s="48"/>
      <c r="U240" s="48"/>
      <c r="V240" s="43" t="s">
        <v>875</v>
      </c>
      <c r="W240" s="46" t="s">
        <v>862</v>
      </c>
      <c r="X240" s="46" t="s">
        <v>862</v>
      </c>
      <c r="Y240" s="46">
        <v>89974</v>
      </c>
      <c r="Z240" s="46">
        <v>71615601</v>
      </c>
      <c r="AA240" s="46">
        <v>89974</v>
      </c>
      <c r="AB240" s="46">
        <v>71615601</v>
      </c>
      <c r="AC240" s="47">
        <f>1 - AD240</f>
        <v>0</v>
      </c>
      <c r="AD240" s="47">
        <f>Y240/AA240</f>
        <v>1</v>
      </c>
      <c r="AE240" s="47">
        <f>1 - AF240</f>
        <v>0</v>
      </c>
      <c r="AF240" s="47">
        <f>Z240/AB240</f>
        <v>1</v>
      </c>
    </row>
    <row r="241" spans="1:32" ht="165.6" x14ac:dyDescent="0.3">
      <c r="A241" s="34">
        <v>117</v>
      </c>
      <c r="B241" s="43" t="s">
        <v>383</v>
      </c>
      <c r="C241" s="28" t="s">
        <v>384</v>
      </c>
      <c r="D241" s="28" t="s">
        <v>385</v>
      </c>
      <c r="E241" s="43" t="s">
        <v>25</v>
      </c>
      <c r="F241" s="43" t="s">
        <v>874</v>
      </c>
      <c r="G241" s="28"/>
      <c r="H241" s="44"/>
      <c r="I241" s="45" t="str">
        <f>CONCATENATE("SUM(CASE WHEN (MCS.",F241, " IS NULL) THEN 1 ELSE 0 END) AS ",F241,",")</f>
        <v>SUM(CASE WHEN (MCS.CLM_DEMO_INFO_2_DESC IS NULL) THEN 1 ELSE 0 END) AS CLM_DEMO_INFO_2_DESC,</v>
      </c>
      <c r="J241" s="43" t="s">
        <v>874</v>
      </c>
      <c r="K241" s="46" t="s">
        <v>861</v>
      </c>
      <c r="L241" s="46">
        <v>0</v>
      </c>
      <c r="M241" s="46">
        <v>67078797</v>
      </c>
      <c r="N241" s="47">
        <f xml:space="preserve"> 1 -O241</f>
        <v>1</v>
      </c>
      <c r="O241" s="48">
        <f>L241/M241</f>
        <v>0</v>
      </c>
      <c r="P241" s="43" t="s">
        <v>874</v>
      </c>
      <c r="Q241" s="48"/>
      <c r="R241" s="48"/>
      <c r="S241" s="54"/>
      <c r="T241" s="48"/>
      <c r="U241" s="48"/>
      <c r="V241" s="43" t="s">
        <v>874</v>
      </c>
      <c r="W241" s="46" t="s">
        <v>862</v>
      </c>
      <c r="X241" s="46" t="s">
        <v>862</v>
      </c>
      <c r="Y241" s="46">
        <v>89974</v>
      </c>
      <c r="Z241" s="46">
        <v>71615601</v>
      </c>
      <c r="AA241" s="46">
        <v>89974</v>
      </c>
      <c r="AB241" s="46">
        <v>71615601</v>
      </c>
      <c r="AC241" s="47">
        <f>1 - AD241</f>
        <v>0</v>
      </c>
      <c r="AD241" s="47">
        <f>Y241/AA241</f>
        <v>1</v>
      </c>
      <c r="AE241" s="47">
        <f>1 - AF241</f>
        <v>0</v>
      </c>
      <c r="AF241" s="47">
        <f>Z241/AB241</f>
        <v>1</v>
      </c>
    </row>
    <row r="242" spans="1:32" ht="165.6" x14ac:dyDescent="0.3">
      <c r="A242" s="34">
        <v>117</v>
      </c>
      <c r="B242" s="43" t="s">
        <v>383</v>
      </c>
      <c r="C242" s="28" t="s">
        <v>384</v>
      </c>
      <c r="D242" s="28" t="s">
        <v>385</v>
      </c>
      <c r="E242" s="43" t="s">
        <v>25</v>
      </c>
      <c r="F242" s="43" t="s">
        <v>873</v>
      </c>
      <c r="G242" s="28" t="s">
        <v>860</v>
      </c>
      <c r="H242" s="44" t="s">
        <v>15</v>
      </c>
      <c r="I242" s="45" t="str">
        <f>CONCATENATE("SUM(CASE WHEN (MCS.",F242, " IS NULL) THEN 1 ELSE 0 END) AS ",F242,",")</f>
        <v>SUM(CASE WHEN (MCS.CLM_DEMO_INFO_1_DESC IS NULL) THEN 1 ELSE 0 END) AS CLM_DEMO_INFO_1_DESC,</v>
      </c>
      <c r="J242" s="43" t="s">
        <v>873</v>
      </c>
      <c r="K242" s="46" t="s">
        <v>861</v>
      </c>
      <c r="L242" s="46">
        <v>0</v>
      </c>
      <c r="M242" s="46">
        <v>67078797</v>
      </c>
      <c r="N242" s="47">
        <f xml:space="preserve"> 1 -O242</f>
        <v>1</v>
      </c>
      <c r="O242" s="48">
        <f>L242/M242</f>
        <v>0</v>
      </c>
      <c r="P242" s="43" t="s">
        <v>873</v>
      </c>
      <c r="Q242" s="48"/>
      <c r="R242" s="48"/>
      <c r="S242" s="54"/>
      <c r="T242" s="48"/>
      <c r="U242" s="48"/>
      <c r="V242" s="43" t="s">
        <v>873</v>
      </c>
      <c r="W242" s="46" t="s">
        <v>862</v>
      </c>
      <c r="X242" s="46" t="s">
        <v>862</v>
      </c>
      <c r="Y242" s="46">
        <v>89974</v>
      </c>
      <c r="Z242" s="46">
        <v>71615601</v>
      </c>
      <c r="AA242" s="46">
        <v>89974</v>
      </c>
      <c r="AB242" s="46">
        <v>71615601</v>
      </c>
      <c r="AC242" s="47">
        <f>1 - AD242</f>
        <v>0</v>
      </c>
      <c r="AD242" s="47">
        <f>Y242/AA242</f>
        <v>1</v>
      </c>
      <c r="AE242" s="47">
        <f>1 - AF242</f>
        <v>0</v>
      </c>
      <c r="AF242" s="47">
        <f>Z242/AB242</f>
        <v>1</v>
      </c>
    </row>
    <row r="243" spans="1:32" ht="151.80000000000001" x14ac:dyDescent="0.3">
      <c r="A243" s="34">
        <v>116</v>
      </c>
      <c r="B243" s="43" t="s">
        <v>379</v>
      </c>
      <c r="C243" s="28" t="s">
        <v>380</v>
      </c>
      <c r="D243" s="28" t="s">
        <v>381</v>
      </c>
      <c r="E243" s="43" t="s">
        <v>25</v>
      </c>
      <c r="F243" s="43" t="s">
        <v>872</v>
      </c>
      <c r="G243" s="28"/>
      <c r="H243" s="44"/>
      <c r="I243" s="45" t="str">
        <f>CONCATENATE("SUM(CASE WHEN (MCS.",F243," IN (' ', '~') OR MCS.",F243, " IS NULL) THEN 1 ELSE 0 END) AS ",F243,",")</f>
        <v>SUM(CASE WHEN (MCS.CLM_DEMO_5TH_NUM IN (' ', '~') OR MCS.CLM_DEMO_5TH_NUM IS NULL) THEN 1 ELSE 0 END) AS CLM_DEMO_5TH_NUM,</v>
      </c>
      <c r="J243" s="43" t="s">
        <v>872</v>
      </c>
      <c r="K243" s="46" t="s">
        <v>861</v>
      </c>
      <c r="L243" s="46">
        <v>0</v>
      </c>
      <c r="M243" s="46">
        <v>67078797</v>
      </c>
      <c r="N243" s="47">
        <f xml:space="preserve"> 1 -O243</f>
        <v>1</v>
      </c>
      <c r="O243" s="48">
        <f>L243/M243</f>
        <v>0</v>
      </c>
      <c r="P243" s="43" t="s">
        <v>872</v>
      </c>
      <c r="Q243" s="48"/>
      <c r="R243" s="48"/>
      <c r="S243" s="54"/>
      <c r="T243" s="48"/>
      <c r="U243" s="48"/>
      <c r="V243" s="43" t="s">
        <v>872</v>
      </c>
      <c r="W243" s="46" t="s">
        <v>862</v>
      </c>
      <c r="X243" s="46" t="s">
        <v>862</v>
      </c>
      <c r="Y243" s="46">
        <v>89974</v>
      </c>
      <c r="Z243" s="46">
        <v>71615601</v>
      </c>
      <c r="AA243" s="46">
        <v>89974</v>
      </c>
      <c r="AB243" s="46">
        <v>71615601</v>
      </c>
      <c r="AC243" s="47">
        <f>1 - AD243</f>
        <v>0</v>
      </c>
      <c r="AD243" s="47">
        <f>Y243/AA243</f>
        <v>1</v>
      </c>
      <c r="AE243" s="47">
        <f>1 - AF243</f>
        <v>0</v>
      </c>
      <c r="AF243" s="47">
        <f>Z243/AB243</f>
        <v>1</v>
      </c>
    </row>
    <row r="244" spans="1:32" ht="151.80000000000001" x14ac:dyDescent="0.3">
      <c r="A244" s="34">
        <v>116</v>
      </c>
      <c r="B244" s="43" t="s">
        <v>379</v>
      </c>
      <c r="C244" s="28" t="s">
        <v>380</v>
      </c>
      <c r="D244" s="28" t="s">
        <v>381</v>
      </c>
      <c r="E244" s="43" t="s">
        <v>25</v>
      </c>
      <c r="F244" s="43" t="s">
        <v>871</v>
      </c>
      <c r="G244" s="28"/>
      <c r="H244" s="44"/>
      <c r="I244" s="45" t="str">
        <f>CONCATENATE("SUM(CASE WHEN (MCS.",F244," IN (' ', '~') OR MCS.",F244, " IS NULL) THEN 1 ELSE 0 END) AS ",F244,",")</f>
        <v>SUM(CASE WHEN (MCS.CLM_DEMO_4TH_NUM IN (' ', '~') OR MCS.CLM_DEMO_4TH_NUM IS NULL) THEN 1 ELSE 0 END) AS CLM_DEMO_4TH_NUM,</v>
      </c>
      <c r="J244" s="43" t="s">
        <v>871</v>
      </c>
      <c r="K244" s="46" t="s">
        <v>861</v>
      </c>
      <c r="L244" s="46">
        <v>0</v>
      </c>
      <c r="M244" s="46">
        <v>67078797</v>
      </c>
      <c r="N244" s="47">
        <f xml:space="preserve"> 1 -O244</f>
        <v>1</v>
      </c>
      <c r="O244" s="48">
        <f>L244/M244</f>
        <v>0</v>
      </c>
      <c r="P244" s="43" t="s">
        <v>871</v>
      </c>
      <c r="Q244" s="48"/>
      <c r="R244" s="48"/>
      <c r="S244" s="54"/>
      <c r="T244" s="48"/>
      <c r="U244" s="48"/>
      <c r="V244" s="43" t="s">
        <v>871</v>
      </c>
      <c r="W244" s="46" t="s">
        <v>861</v>
      </c>
      <c r="X244" s="46" t="s">
        <v>861</v>
      </c>
      <c r="Y244" s="46">
        <v>0</v>
      </c>
      <c r="Z244" s="46">
        <v>1</v>
      </c>
      <c r="AA244" s="46">
        <v>89974</v>
      </c>
      <c r="AB244" s="46">
        <v>71615601</v>
      </c>
      <c r="AC244" s="47">
        <f>1 - AD244</f>
        <v>1</v>
      </c>
      <c r="AD244" s="47">
        <f>Y244/AA244</f>
        <v>0</v>
      </c>
      <c r="AE244" s="47">
        <f>1 - AF244</f>
        <v>0.99999998603656204</v>
      </c>
      <c r="AF244" s="47">
        <f>Z244/AB244</f>
        <v>1.3963437938613403E-8</v>
      </c>
    </row>
    <row r="245" spans="1:32" ht="151.80000000000001" x14ac:dyDescent="0.3">
      <c r="A245" s="34">
        <v>116</v>
      </c>
      <c r="B245" s="43" t="s">
        <v>379</v>
      </c>
      <c r="C245" s="28" t="s">
        <v>380</v>
      </c>
      <c r="D245" s="28" t="s">
        <v>381</v>
      </c>
      <c r="E245" s="43" t="s">
        <v>25</v>
      </c>
      <c r="F245" s="43" t="s">
        <v>870</v>
      </c>
      <c r="G245" s="28"/>
      <c r="H245" s="44"/>
      <c r="I245" s="45" t="str">
        <f>CONCATENATE("SUM(CASE WHEN (MCS.",F245," IN (' ', '~') OR MCS.",F245, " IS NULL) THEN 1 ELSE 0 END) AS ",F245,",")</f>
        <v>SUM(CASE WHEN (MCS.CLM_DEMO_3RD_NUM IN (' ', '~') OR MCS.CLM_DEMO_3RD_NUM IS NULL) THEN 1 ELSE 0 END) AS CLM_DEMO_3RD_NUM,</v>
      </c>
      <c r="J245" s="43" t="s">
        <v>870</v>
      </c>
      <c r="K245" s="46" t="s">
        <v>861</v>
      </c>
      <c r="L245" s="46">
        <v>0</v>
      </c>
      <c r="M245" s="46">
        <v>67078797</v>
      </c>
      <c r="N245" s="47">
        <f xml:space="preserve"> 1 -O245</f>
        <v>1</v>
      </c>
      <c r="O245" s="48">
        <f>L245/M245</f>
        <v>0</v>
      </c>
      <c r="P245" s="43" t="s">
        <v>870</v>
      </c>
      <c r="Q245" s="48"/>
      <c r="R245" s="48"/>
      <c r="S245" s="54"/>
      <c r="T245" s="48"/>
      <c r="U245" s="48"/>
      <c r="V245" s="43" t="s">
        <v>870</v>
      </c>
      <c r="W245" s="46" t="s">
        <v>861</v>
      </c>
      <c r="X245" s="46" t="s">
        <v>861</v>
      </c>
      <c r="Y245" s="46">
        <v>0</v>
      </c>
      <c r="Z245" s="46">
        <v>1</v>
      </c>
      <c r="AA245" s="46">
        <v>89974</v>
      </c>
      <c r="AB245" s="46">
        <v>71615601</v>
      </c>
      <c r="AC245" s="47">
        <f>1 - AD245</f>
        <v>1</v>
      </c>
      <c r="AD245" s="47">
        <f>Y245/AA245</f>
        <v>0</v>
      </c>
      <c r="AE245" s="47">
        <f>1 - AF245</f>
        <v>0.99999998603656204</v>
      </c>
      <c r="AF245" s="47">
        <f>Z245/AB245</f>
        <v>1.3963437938613403E-8</v>
      </c>
    </row>
    <row r="246" spans="1:32" ht="151.80000000000001" x14ac:dyDescent="0.3">
      <c r="A246" s="34">
        <v>116</v>
      </c>
      <c r="B246" s="43" t="s">
        <v>379</v>
      </c>
      <c r="C246" s="28" t="s">
        <v>380</v>
      </c>
      <c r="D246" s="28" t="s">
        <v>381</v>
      </c>
      <c r="E246" s="43" t="s">
        <v>25</v>
      </c>
      <c r="F246" s="43" t="s">
        <v>869</v>
      </c>
      <c r="G246" s="28"/>
      <c r="H246" s="44"/>
      <c r="I246" s="45" t="str">
        <f>CONCATENATE("SUM(CASE WHEN (MCS.",F246," IN (' ', '~') OR MCS.",F246, " IS NULL) THEN 1 ELSE 0 END) AS ",F246,",")</f>
        <v>SUM(CASE WHEN (MCS.CLM_DEMO_2ND_NUM IN (' ', '~') OR MCS.CLM_DEMO_2ND_NUM IS NULL) THEN 1 ELSE 0 END) AS CLM_DEMO_2ND_NUM,</v>
      </c>
      <c r="J246" s="43" t="s">
        <v>869</v>
      </c>
      <c r="K246" s="46" t="s">
        <v>861</v>
      </c>
      <c r="L246" s="46">
        <v>0</v>
      </c>
      <c r="M246" s="46">
        <v>67078797</v>
      </c>
      <c r="N246" s="47">
        <f xml:space="preserve"> 1 -O246</f>
        <v>1</v>
      </c>
      <c r="O246" s="48">
        <f>L246/M246</f>
        <v>0</v>
      </c>
      <c r="P246" s="43" t="s">
        <v>869</v>
      </c>
      <c r="Q246" s="48"/>
      <c r="R246" s="48"/>
      <c r="S246" s="54"/>
      <c r="T246" s="48"/>
      <c r="U246" s="48"/>
      <c r="V246" s="43" t="s">
        <v>869</v>
      </c>
      <c r="W246" s="46" t="s">
        <v>861</v>
      </c>
      <c r="X246" s="46" t="s">
        <v>861</v>
      </c>
      <c r="Y246" s="46">
        <v>0</v>
      </c>
      <c r="Z246" s="46">
        <v>1</v>
      </c>
      <c r="AA246" s="46">
        <v>89974</v>
      </c>
      <c r="AB246" s="46">
        <v>71615601</v>
      </c>
      <c r="AC246" s="47">
        <f>1 - AD246</f>
        <v>1</v>
      </c>
      <c r="AD246" s="47">
        <f>Y246/AA246</f>
        <v>0</v>
      </c>
      <c r="AE246" s="47">
        <f>1 - AF246</f>
        <v>0.99999998603656204</v>
      </c>
      <c r="AF246" s="47">
        <f>Z246/AB246</f>
        <v>1.3963437938613403E-8</v>
      </c>
    </row>
    <row r="247" spans="1:32" ht="151.80000000000001" x14ac:dyDescent="0.3">
      <c r="A247" s="34">
        <v>116</v>
      </c>
      <c r="B247" s="43" t="s">
        <v>379</v>
      </c>
      <c r="C247" s="28" t="s">
        <v>380</v>
      </c>
      <c r="D247" s="28" t="s">
        <v>381</v>
      </c>
      <c r="E247" s="43" t="s">
        <v>25</v>
      </c>
      <c r="F247" s="43" t="s">
        <v>868</v>
      </c>
      <c r="G247" s="28" t="s">
        <v>860</v>
      </c>
      <c r="H247" s="44" t="s">
        <v>15</v>
      </c>
      <c r="I247" s="45" t="str">
        <f>CONCATENATE("SUM(CASE WHEN (MCS.",F247," IN (' ', '~') OR MCS.",F247, " IS NULL) THEN 1 ELSE 0 END) AS ",F247,",")</f>
        <v>SUM(CASE WHEN (MCS.CLM_DEMO_1ST_NUM IN (' ', '~') OR MCS.CLM_DEMO_1ST_NUM IS NULL) THEN 1 ELSE 0 END) AS CLM_DEMO_1ST_NUM,</v>
      </c>
      <c r="J247" s="43" t="s">
        <v>868</v>
      </c>
      <c r="K247" s="46" t="s">
        <v>861</v>
      </c>
      <c r="L247" s="46">
        <v>0</v>
      </c>
      <c r="M247" s="46">
        <v>67078797</v>
      </c>
      <c r="N247" s="47">
        <f xml:space="preserve"> 1 -O247</f>
        <v>1</v>
      </c>
      <c r="O247" s="48">
        <f>L247/M247</f>
        <v>0</v>
      </c>
      <c r="P247" s="43" t="s">
        <v>868</v>
      </c>
      <c r="Q247" s="48"/>
      <c r="R247" s="48"/>
      <c r="S247" s="54"/>
      <c r="T247" s="48"/>
      <c r="U247" s="48"/>
      <c r="V247" s="43" t="s">
        <v>868</v>
      </c>
      <c r="W247" s="46" t="s">
        <v>861</v>
      </c>
      <c r="X247" s="46" t="s">
        <v>861</v>
      </c>
      <c r="Y247" s="46">
        <v>0</v>
      </c>
      <c r="Z247" s="46">
        <v>1</v>
      </c>
      <c r="AA247" s="46">
        <v>89974</v>
      </c>
      <c r="AB247" s="46">
        <v>71615601</v>
      </c>
      <c r="AC247" s="47">
        <f>1 - AD247</f>
        <v>1</v>
      </c>
      <c r="AD247" s="47">
        <f>Y247/AA247</f>
        <v>0</v>
      </c>
      <c r="AE247" s="47">
        <f>1 - AF247</f>
        <v>0.99999998603656204</v>
      </c>
      <c r="AF247" s="47">
        <f>Z247/AB247</f>
        <v>1.3963437938613403E-8</v>
      </c>
    </row>
    <row r="248" spans="1:32" ht="82.8" x14ac:dyDescent="0.3">
      <c r="A248" s="34">
        <v>69</v>
      </c>
      <c r="B248" s="28" t="s">
        <v>230</v>
      </c>
      <c r="C248" s="28" t="s">
        <v>231</v>
      </c>
      <c r="D248" s="28" t="s">
        <v>24</v>
      </c>
      <c r="E248" s="28" t="s">
        <v>31</v>
      </c>
      <c r="F248" s="28" t="s">
        <v>232</v>
      </c>
      <c r="G248" s="44" t="s">
        <v>15</v>
      </c>
      <c r="H248" s="44" t="s">
        <v>15</v>
      </c>
      <c r="I248" s="45" t="str">
        <f>CONCATENATE("SUM(CASE WHEN ",F248," IN (' ', '~') OR ",F248, " IS NULL THEN 1 ELSE 0 END) AS ",F248,",")</f>
        <v>SUM(CASE WHEN CLM_DCMTN_CD IN (' ', '~') OR CLM_DCMTN_CD IS NULL THEN 1 ELSE 0 END) AS CLM_DCMTN_CD,</v>
      </c>
      <c r="J248" s="28" t="s">
        <v>232</v>
      </c>
      <c r="K248" s="46" t="s">
        <v>861</v>
      </c>
      <c r="L248" s="46">
        <v>0</v>
      </c>
      <c r="M248" s="46">
        <v>67078797</v>
      </c>
      <c r="N248" s="47">
        <f xml:space="preserve"> 1 -O248</f>
        <v>1</v>
      </c>
      <c r="O248" s="48">
        <f>L248/M248</f>
        <v>0</v>
      </c>
      <c r="P248" s="49" t="s">
        <v>232</v>
      </c>
      <c r="Q248" s="50"/>
      <c r="R248" s="51">
        <v>0</v>
      </c>
      <c r="S248" s="54"/>
      <c r="T248" s="48"/>
      <c r="U248" s="48"/>
      <c r="V248" s="43" t="s">
        <v>232</v>
      </c>
      <c r="W248" s="46" t="s">
        <v>862</v>
      </c>
      <c r="X248" s="46" t="s">
        <v>862</v>
      </c>
      <c r="Y248" s="46">
        <v>89974</v>
      </c>
      <c r="Z248" s="46">
        <v>71615601</v>
      </c>
      <c r="AA248" s="46">
        <v>89974</v>
      </c>
      <c r="AB248" s="46">
        <v>71615601</v>
      </c>
      <c r="AC248" s="47">
        <f>1 - AD248</f>
        <v>0</v>
      </c>
      <c r="AD248" s="47">
        <f>Y248/AA248</f>
        <v>1</v>
      </c>
      <c r="AE248" s="47">
        <f>1 - AF248</f>
        <v>0</v>
      </c>
      <c r="AF248" s="47">
        <f>Z248/AB248</f>
        <v>1</v>
      </c>
    </row>
    <row r="249" spans="1:32" ht="110.4" x14ac:dyDescent="0.3">
      <c r="A249" s="34">
        <v>38</v>
      </c>
      <c r="B249" s="43" t="s">
        <v>126</v>
      </c>
      <c r="C249" s="28" t="s">
        <v>127</v>
      </c>
      <c r="D249" s="43" t="s">
        <v>130</v>
      </c>
      <c r="E249" s="28" t="s">
        <v>25</v>
      </c>
      <c r="F249" s="28" t="s">
        <v>131</v>
      </c>
      <c r="G249" s="44" t="s">
        <v>15</v>
      </c>
      <c r="H249" s="44" t="s">
        <v>15</v>
      </c>
      <c r="I249" s="45" t="str">
        <f>CONCATENATE("SUM(CASE WHEN (MCS.",F249," IN (' ', '~') OR MCS.",F249, " IS NULL) THEN 1 ELSE 0 END) AS ",F249,",")</f>
        <v>SUM(CASE WHEN (MCS.CLM_CWF_PLUS_4_ZIP_CD IN (' ', '~') OR MCS.CLM_CWF_PLUS_4_ZIP_CD IS NULL) THEN 1 ELSE 0 END) AS CLM_CWF_PLUS_4_ZIP_CD,</v>
      </c>
      <c r="J249" s="28" t="s">
        <v>131</v>
      </c>
      <c r="K249" s="46" t="s">
        <v>861</v>
      </c>
      <c r="L249" s="46">
        <v>0</v>
      </c>
      <c r="M249" s="46">
        <v>67078797</v>
      </c>
      <c r="N249" s="47">
        <f xml:space="preserve"> 1 -O249</f>
        <v>1</v>
      </c>
      <c r="O249" s="48">
        <f>L249/M249</f>
        <v>0</v>
      </c>
      <c r="P249" s="28" t="s">
        <v>131</v>
      </c>
      <c r="Q249" s="48"/>
      <c r="R249" s="48"/>
      <c r="S249" s="54"/>
      <c r="T249" s="48"/>
      <c r="U249" s="48"/>
      <c r="V249" s="43" t="s">
        <v>131</v>
      </c>
      <c r="W249" s="46" t="s">
        <v>862</v>
      </c>
      <c r="X249" s="46" t="s">
        <v>862</v>
      </c>
      <c r="Y249" s="46">
        <v>89974</v>
      </c>
      <c r="Z249" s="46">
        <v>71615601</v>
      </c>
      <c r="AA249" s="46">
        <v>89974</v>
      </c>
      <c r="AB249" s="46">
        <v>71615601</v>
      </c>
      <c r="AC249" s="47">
        <f>1 - AD249</f>
        <v>0</v>
      </c>
      <c r="AD249" s="47">
        <f>Y249/AA249</f>
        <v>1</v>
      </c>
      <c r="AE249" s="47">
        <f>1 - AF249</f>
        <v>0</v>
      </c>
      <c r="AF249" s="47">
        <f>Z249/AB249</f>
        <v>1</v>
      </c>
    </row>
    <row r="250" spans="1:32" ht="138" x14ac:dyDescent="0.3">
      <c r="A250" s="34">
        <v>42</v>
      </c>
      <c r="B250" s="28" t="s">
        <v>141</v>
      </c>
      <c r="C250" s="28" t="s">
        <v>142</v>
      </c>
      <c r="D250" s="28" t="s">
        <v>24</v>
      </c>
      <c r="E250" s="28" t="s">
        <v>25</v>
      </c>
      <c r="F250" s="28" t="s">
        <v>143</v>
      </c>
      <c r="G250" s="44" t="s">
        <v>15</v>
      </c>
      <c r="H250" s="44" t="s">
        <v>15</v>
      </c>
      <c r="I250" s="45" t="str">
        <f>CONCATENATE("SUM(CASE WHEN (MCS.",F250," IN (' ', '~') OR MCS.",F250, " IS NULL) THEN 1 ELSE 0 END) AS ",F250,",")</f>
        <v>SUM(CASE WHEN (MCS.CLM_CWF_BENE_MDCR_STUS_CD IN (' ', '~') OR MCS.CLM_CWF_BENE_MDCR_STUS_CD IS NULL) THEN 1 ELSE 0 END) AS CLM_CWF_BENE_MDCR_STUS_CD,</v>
      </c>
      <c r="J250" s="28" t="s">
        <v>143</v>
      </c>
      <c r="K250" s="46" t="s">
        <v>861</v>
      </c>
      <c r="L250" s="46">
        <v>0</v>
      </c>
      <c r="M250" s="46">
        <v>67078797</v>
      </c>
      <c r="N250" s="47">
        <f xml:space="preserve"> 1 -O250</f>
        <v>1</v>
      </c>
      <c r="O250" s="48">
        <f>L250/M250</f>
        <v>0</v>
      </c>
      <c r="P250" s="28" t="s">
        <v>143</v>
      </c>
      <c r="Q250" s="48"/>
      <c r="R250" s="48"/>
      <c r="S250" s="54"/>
      <c r="T250" s="48"/>
      <c r="U250" s="48"/>
      <c r="V250" s="43" t="s">
        <v>143</v>
      </c>
      <c r="W250" s="46" t="s">
        <v>862</v>
      </c>
      <c r="X250" s="46" t="s">
        <v>862</v>
      </c>
      <c r="Y250" s="46">
        <v>89974</v>
      </c>
      <c r="Z250" s="46">
        <v>71615601</v>
      </c>
      <c r="AA250" s="46">
        <v>89974</v>
      </c>
      <c r="AB250" s="46">
        <v>71615601</v>
      </c>
      <c r="AC250" s="47">
        <f>1 - AD250</f>
        <v>0</v>
      </c>
      <c r="AD250" s="47">
        <f>Y250/AA250</f>
        <v>1</v>
      </c>
      <c r="AE250" s="47">
        <f>1 - AF250</f>
        <v>0</v>
      </c>
      <c r="AF250" s="47">
        <f>Z250/AB250</f>
        <v>1</v>
      </c>
    </row>
    <row r="251" spans="1:32" ht="69" x14ac:dyDescent="0.3">
      <c r="A251" s="34">
        <v>18</v>
      </c>
      <c r="B251" s="28" t="s">
        <v>64</v>
      </c>
      <c r="C251" s="28" t="s">
        <v>65</v>
      </c>
      <c r="D251" s="28" t="s">
        <v>54</v>
      </c>
      <c r="E251" s="28" t="s">
        <v>55</v>
      </c>
      <c r="F251" s="28" t="s">
        <v>66</v>
      </c>
      <c r="G251" s="44" t="s">
        <v>15</v>
      </c>
      <c r="H251" s="44" t="s">
        <v>15</v>
      </c>
      <c r="I251" s="45" t="str">
        <f>CONCATENATE("SUM(CASE WHEN (MCS.",F251, " IS NULL) THEN 1 ELSE 0 END) AS ",F251,",")</f>
        <v>SUM(CASE WHEN (MCS.CLM_CWF_ACRTN_DT IS NULL) THEN 1 ELSE 0 END) AS CLM_CWF_ACRTN_DT,</v>
      </c>
      <c r="J251" s="28" t="s">
        <v>66</v>
      </c>
      <c r="K251" s="46" t="s">
        <v>861</v>
      </c>
      <c r="L251" s="46">
        <v>0</v>
      </c>
      <c r="M251" s="46">
        <v>67078797</v>
      </c>
      <c r="N251" s="47">
        <f xml:space="preserve"> 1 -O251</f>
        <v>1</v>
      </c>
      <c r="O251" s="48">
        <f>L251/M251</f>
        <v>0</v>
      </c>
      <c r="P251" s="28" t="s">
        <v>66</v>
      </c>
      <c r="Q251" s="48"/>
      <c r="R251" s="48"/>
      <c r="S251" s="54"/>
      <c r="T251" s="48"/>
      <c r="U251" s="48"/>
      <c r="V251" s="43" t="s">
        <v>66</v>
      </c>
      <c r="W251" s="46" t="s">
        <v>861</v>
      </c>
      <c r="X251" s="46" t="s">
        <v>861</v>
      </c>
      <c r="Y251" s="46">
        <v>0</v>
      </c>
      <c r="Z251" s="46">
        <v>0</v>
      </c>
      <c r="AA251" s="46">
        <v>89974</v>
      </c>
      <c r="AB251" s="46">
        <v>71615601</v>
      </c>
      <c r="AC251" s="47">
        <f>1 - AD251</f>
        <v>1</v>
      </c>
      <c r="AD251" s="47">
        <f>Y251/AA251</f>
        <v>0</v>
      </c>
      <c r="AE251" s="47">
        <f>1 - AF251</f>
        <v>1</v>
      </c>
      <c r="AF251" s="47">
        <f>Z251/AB251</f>
        <v>0</v>
      </c>
    </row>
    <row r="252" spans="1:32" ht="96.6" x14ac:dyDescent="0.3">
      <c r="A252" s="34">
        <v>36</v>
      </c>
      <c r="B252" s="28" t="s">
        <v>119</v>
      </c>
      <c r="C252" s="28" t="s">
        <v>120</v>
      </c>
      <c r="D252" s="28" t="s">
        <v>24</v>
      </c>
      <c r="E252" s="28" t="s">
        <v>31</v>
      </c>
      <c r="F252" s="43" t="s">
        <v>121</v>
      </c>
      <c r="G252" s="44" t="s">
        <v>15</v>
      </c>
      <c r="H252" s="44" t="s">
        <v>15</v>
      </c>
      <c r="I252" s="45" t="str">
        <f>CONCATENATE("SUM(CASE WHEN ",F252," IN (' ', '~') OR ",F252, " IS NULL THEN 1 ELSE 0 END) AS ",F252,",")</f>
        <v>SUM(CASE WHEN CLM_CNTRCTR_NUM IN (' ', '~') OR CLM_CNTRCTR_NUM IS NULL THEN 1 ELSE 0 END) AS CLM_CNTRCTR_NUM,</v>
      </c>
      <c r="J252" s="43" t="s">
        <v>121</v>
      </c>
      <c r="K252" s="46" t="s">
        <v>861</v>
      </c>
      <c r="L252" s="46">
        <v>0</v>
      </c>
      <c r="M252" s="46">
        <v>67078797</v>
      </c>
      <c r="N252" s="47">
        <f xml:space="preserve"> 1 -O252</f>
        <v>1</v>
      </c>
      <c r="O252" s="48">
        <f>L252/M252</f>
        <v>0</v>
      </c>
      <c r="P252" s="49" t="s">
        <v>121</v>
      </c>
      <c r="Q252" s="50"/>
      <c r="R252" s="51">
        <v>0</v>
      </c>
      <c r="S252" s="54"/>
      <c r="T252" s="48"/>
      <c r="U252" s="48"/>
      <c r="V252" s="43" t="s">
        <v>121</v>
      </c>
      <c r="W252" s="46" t="s">
        <v>861</v>
      </c>
      <c r="X252" s="46" t="s">
        <v>861</v>
      </c>
      <c r="Y252" s="46">
        <v>0</v>
      </c>
      <c r="Z252" s="46">
        <v>0</v>
      </c>
      <c r="AA252" s="46">
        <v>89974</v>
      </c>
      <c r="AB252" s="46">
        <v>71615601</v>
      </c>
      <c r="AC252" s="47">
        <f>1 - AD252</f>
        <v>1</v>
      </c>
      <c r="AD252" s="47">
        <f>Y252/AA252</f>
        <v>0</v>
      </c>
      <c r="AE252" s="47">
        <f>1 - AF252</f>
        <v>1</v>
      </c>
      <c r="AF252" s="47">
        <f>Z252/AB252</f>
        <v>0</v>
      </c>
    </row>
    <row r="253" spans="1:32" ht="96.6" x14ac:dyDescent="0.3">
      <c r="A253" s="34">
        <v>36</v>
      </c>
      <c r="B253" s="28" t="s">
        <v>119</v>
      </c>
      <c r="C253" s="28" t="s">
        <v>120</v>
      </c>
      <c r="D253" s="28" t="s">
        <v>24</v>
      </c>
      <c r="E253" s="43" t="s">
        <v>57</v>
      </c>
      <c r="F253" s="43" t="s">
        <v>121</v>
      </c>
      <c r="G253" s="44" t="s">
        <v>15</v>
      </c>
      <c r="H253" s="44" t="s">
        <v>15</v>
      </c>
      <c r="I253" s="45" t="str">
        <f>CONCATENATE("SUM(CASE WHEN (MCS.",F253," IN (' ', '~') OR MCS.",F253, " IS NULL) THEN 1 ELSE 0 END) AS ",F253,",")</f>
        <v>SUM(CASE WHEN (MCS.CLM_CNTRCTR_NUM IN (' ', '~') OR MCS.CLM_CNTRCTR_NUM IS NULL) THEN 1 ELSE 0 END) AS CLM_CNTRCTR_NUM,</v>
      </c>
      <c r="J253" s="43" t="s">
        <v>121</v>
      </c>
      <c r="K253" s="46" t="s">
        <v>861</v>
      </c>
      <c r="L253" s="46">
        <v>0</v>
      </c>
      <c r="M253" s="46">
        <v>135351338</v>
      </c>
      <c r="N253" s="47">
        <f xml:space="preserve"> 1 -O253</f>
        <v>1</v>
      </c>
      <c r="O253" s="48">
        <f>L253/M253</f>
        <v>0</v>
      </c>
      <c r="P253" s="43" t="s">
        <v>121</v>
      </c>
      <c r="Q253" s="48"/>
      <c r="R253" s="48"/>
      <c r="S253" s="54"/>
      <c r="T253" s="48"/>
      <c r="U253" s="48"/>
      <c r="V253" s="43" t="s">
        <v>121</v>
      </c>
      <c r="W253" s="46" t="s">
        <v>861</v>
      </c>
      <c r="X253" s="46" t="s">
        <v>861</v>
      </c>
      <c r="Y253" s="46">
        <v>0</v>
      </c>
      <c r="Z253" s="46">
        <v>0</v>
      </c>
      <c r="AA253" s="46">
        <v>191518</v>
      </c>
      <c r="AB253" s="46">
        <v>146028028</v>
      </c>
      <c r="AC253" s="47">
        <f>1 - AD253</f>
        <v>1</v>
      </c>
      <c r="AD253" s="47">
        <f>Y253/AA253</f>
        <v>0</v>
      </c>
      <c r="AE253" s="47">
        <f>1 - AF253</f>
        <v>1</v>
      </c>
      <c r="AF253" s="47">
        <f>Z253/AB253</f>
        <v>0</v>
      </c>
    </row>
    <row r="254" spans="1:32" ht="69" x14ac:dyDescent="0.3">
      <c r="A254" s="34">
        <v>20</v>
      </c>
      <c r="B254" s="28" t="s">
        <v>70</v>
      </c>
      <c r="C254" s="28" t="s">
        <v>71</v>
      </c>
      <c r="D254" s="28" t="s">
        <v>24</v>
      </c>
      <c r="E254" s="28" t="s">
        <v>31</v>
      </c>
      <c r="F254" s="28" t="s">
        <v>72</v>
      </c>
      <c r="G254" s="44" t="s">
        <v>15</v>
      </c>
      <c r="H254" s="44" t="s">
        <v>15</v>
      </c>
      <c r="I254" s="45" t="str">
        <f>CONCATENATE("SUM(CASE WHEN (",F254, " IS NULL) THEN 1 ELSE 0 END) AS ",F254,",")</f>
        <v>SUM(CASE WHEN (CLM_CNTL_NUM IS NULL) THEN 1 ELSE 0 END) AS CLM_CNTL_NUM,</v>
      </c>
      <c r="J254" s="28" t="s">
        <v>72</v>
      </c>
      <c r="K254" s="46" t="s">
        <v>861</v>
      </c>
      <c r="L254" s="46">
        <v>0</v>
      </c>
      <c r="M254" s="46">
        <v>67078797</v>
      </c>
      <c r="N254" s="47">
        <f xml:space="preserve"> 1 -O254</f>
        <v>1</v>
      </c>
      <c r="O254" s="48">
        <f>L254/M254</f>
        <v>0</v>
      </c>
      <c r="P254" s="49" t="s">
        <v>72</v>
      </c>
      <c r="Q254" s="50"/>
      <c r="R254" s="51">
        <v>0</v>
      </c>
      <c r="S254" s="54"/>
      <c r="T254" s="48"/>
      <c r="U254" s="48"/>
      <c r="V254" s="43" t="s">
        <v>72</v>
      </c>
      <c r="W254" s="46" t="s">
        <v>861</v>
      </c>
      <c r="X254" s="46" t="s">
        <v>861</v>
      </c>
      <c r="Y254" s="46">
        <v>0</v>
      </c>
      <c r="Z254" s="46">
        <v>0</v>
      </c>
      <c r="AA254" s="46">
        <v>89974</v>
      </c>
      <c r="AB254" s="46">
        <v>71615601</v>
      </c>
      <c r="AC254" s="47">
        <f>1 - AD254</f>
        <v>1</v>
      </c>
      <c r="AD254" s="47">
        <f>Y254/AA254</f>
        <v>0</v>
      </c>
      <c r="AE254" s="47">
        <f>1 - AF254</f>
        <v>1</v>
      </c>
      <c r="AF254" s="47">
        <f>Z254/AB254</f>
        <v>0</v>
      </c>
    </row>
    <row r="255" spans="1:32" ht="110.4" x14ac:dyDescent="0.3">
      <c r="A255" s="34">
        <v>182</v>
      </c>
      <c r="B255" s="28" t="s">
        <v>584</v>
      </c>
      <c r="C255" s="28" t="s">
        <v>585</v>
      </c>
      <c r="D255" s="28" t="s">
        <v>24</v>
      </c>
      <c r="E255" s="28" t="s">
        <v>57</v>
      </c>
      <c r="F255" s="43" t="s">
        <v>586</v>
      </c>
      <c r="G255" s="44" t="s">
        <v>15</v>
      </c>
      <c r="H255" s="44" t="s">
        <v>15</v>
      </c>
      <c r="I255" s="45" t="str">
        <f>CONCATENATE("SUM(CASE WHEN (MCS.",F255," IN (' ', '~') OR MCS.",F255, " IS NULL) THEN 1 ELSE 0 END) AS ",F255,",")</f>
        <v>SUM(CASE WHEN (MCS.CLM_CNSLDTD_BLG_CD IN (' ', '~') OR MCS.CLM_CNSLDTD_BLG_CD IS NULL) THEN 1 ELSE 0 END) AS CLM_CNSLDTD_BLG_CD,</v>
      </c>
      <c r="J255" s="43" t="s">
        <v>586</v>
      </c>
      <c r="K255" s="46" t="s">
        <v>861</v>
      </c>
      <c r="L255" s="46">
        <v>0</v>
      </c>
      <c r="M255" s="46">
        <v>135351338</v>
      </c>
      <c r="N255" s="47">
        <f xml:space="preserve"> 1 -O255</f>
        <v>1</v>
      </c>
      <c r="O255" s="48">
        <f>L255/M255</f>
        <v>0</v>
      </c>
      <c r="P255" s="43" t="s">
        <v>586</v>
      </c>
      <c r="Q255" s="48"/>
      <c r="R255" s="48"/>
      <c r="S255" s="54"/>
      <c r="T255" s="48"/>
      <c r="U255" s="48"/>
      <c r="V255" s="43" t="s">
        <v>586</v>
      </c>
      <c r="W255" s="46" t="s">
        <v>862</v>
      </c>
      <c r="X255" s="46" t="s">
        <v>862</v>
      </c>
      <c r="Y255" s="46">
        <v>191518</v>
      </c>
      <c r="Z255" s="46">
        <v>146028028</v>
      </c>
      <c r="AA255" s="46">
        <v>191518</v>
      </c>
      <c r="AB255" s="46">
        <v>146028028</v>
      </c>
      <c r="AC255" s="47">
        <f>1 - AD255</f>
        <v>0</v>
      </c>
      <c r="AD255" s="47">
        <f>Y255/AA255</f>
        <v>1</v>
      </c>
      <c r="AE255" s="47">
        <f>1 - AF255</f>
        <v>0</v>
      </c>
      <c r="AF255" s="47">
        <f>Z255/AB255</f>
        <v>1</v>
      </c>
    </row>
    <row r="256" spans="1:32" ht="96.6" x14ac:dyDescent="0.3">
      <c r="A256" s="34">
        <v>67</v>
      </c>
      <c r="B256" s="28" t="s">
        <v>224</v>
      </c>
      <c r="C256" s="28" t="s">
        <v>225</v>
      </c>
      <c r="D256" s="28" t="s">
        <v>24</v>
      </c>
      <c r="E256" s="28" t="s">
        <v>170</v>
      </c>
      <c r="F256" s="28" t="s">
        <v>226</v>
      </c>
      <c r="G256" s="44" t="s">
        <v>15</v>
      </c>
      <c r="H256" s="44" t="s">
        <v>15</v>
      </c>
      <c r="I256" s="45" t="str">
        <f>CONCATENATE("SUM(CASE WHEN (MCS.",F256," IN (' ', '~') OR MCS.",F256, " IS NULL) THEN 1 ELSE 0 END) AS ",F256,",")</f>
        <v>SUM(CASE WHEN (MCS.CLM_CLNCL_TRIL_NUM IN (' ', '~') OR MCS.CLM_CLNCL_TRIL_NUM IS NULL) THEN 1 ELSE 0 END) AS CLM_CLNCL_TRIL_NUM,</v>
      </c>
      <c r="J256" s="28" t="s">
        <v>226</v>
      </c>
      <c r="K256" s="46" t="s">
        <v>861</v>
      </c>
      <c r="L256" s="46">
        <v>0</v>
      </c>
      <c r="M256" s="46">
        <v>67126071</v>
      </c>
      <c r="N256" s="47">
        <f xml:space="preserve"> 1 -O256</f>
        <v>1</v>
      </c>
      <c r="O256" s="48">
        <f>L256/M256</f>
        <v>0</v>
      </c>
      <c r="P256" s="28" t="s">
        <v>226</v>
      </c>
      <c r="Q256" s="48"/>
      <c r="R256" s="48"/>
      <c r="S256" s="54"/>
      <c r="T256" s="48"/>
      <c r="U256" s="48"/>
      <c r="V256" s="24" t="s">
        <v>226</v>
      </c>
      <c r="W256" s="59" t="s">
        <v>861</v>
      </c>
      <c r="X256" s="59" t="s">
        <v>861</v>
      </c>
      <c r="Y256" s="59">
        <v>0</v>
      </c>
      <c r="Z256" s="59">
        <v>0</v>
      </c>
      <c r="AA256" s="57">
        <v>89974</v>
      </c>
      <c r="AB256" s="57">
        <v>71615601</v>
      </c>
      <c r="AC256" s="47">
        <f>1 - AD256</f>
        <v>1</v>
      </c>
      <c r="AD256" s="47">
        <v>0</v>
      </c>
      <c r="AE256" s="47">
        <f>1 - AF256</f>
        <v>1</v>
      </c>
      <c r="AF256" s="47">
        <v>0</v>
      </c>
    </row>
    <row r="257" spans="1:32" ht="110.4" x14ac:dyDescent="0.3">
      <c r="A257" s="34">
        <v>177</v>
      </c>
      <c r="B257" s="28" t="s">
        <v>569</v>
      </c>
      <c r="C257" s="28" t="s">
        <v>570</v>
      </c>
      <c r="D257" s="28" t="s">
        <v>24</v>
      </c>
      <c r="E257" s="28" t="s">
        <v>436</v>
      </c>
      <c r="F257" s="28" t="s">
        <v>571</v>
      </c>
      <c r="G257" s="44" t="s">
        <v>15</v>
      </c>
      <c r="H257" s="44" t="s">
        <v>15</v>
      </c>
      <c r="I257" s="45" t="str">
        <f>CONCATENATE("SUM(CASE WHEN (MCS.",F257," IN (' ', '~') OR MCS.",F257, " IS NULL) THEN 1 ELSE 0 END) AS ",F257,",")</f>
        <v>SUM(CASE WHEN (MCS.CLM_CLIA_ALERT_IND_CD IN (' ', '~') OR MCS.CLM_CLIA_ALERT_IND_CD IS NULL) THEN 1 ELSE 0 END) AS CLM_CLIA_ALERT_IND_CD,</v>
      </c>
      <c r="J257" s="28" t="s">
        <v>571</v>
      </c>
      <c r="K257" s="46" t="s">
        <v>861</v>
      </c>
      <c r="L257" s="46">
        <v>0</v>
      </c>
      <c r="M257" s="46">
        <v>135449900</v>
      </c>
      <c r="N257" s="47">
        <f xml:space="preserve"> 1 -O257</f>
        <v>1</v>
      </c>
      <c r="O257" s="48">
        <f>L257/M257</f>
        <v>0</v>
      </c>
      <c r="P257" s="28" t="s">
        <v>571</v>
      </c>
      <c r="Q257" s="48"/>
      <c r="R257" s="48"/>
      <c r="S257" s="54"/>
      <c r="T257" s="48"/>
      <c r="U257" s="48"/>
      <c r="V257" s="24" t="s">
        <v>571</v>
      </c>
      <c r="W257" s="58" t="s">
        <v>862</v>
      </c>
      <c r="X257" s="58" t="s">
        <v>862</v>
      </c>
      <c r="Y257" s="57">
        <v>191518</v>
      </c>
      <c r="Z257" s="57">
        <v>146028028</v>
      </c>
      <c r="AA257" s="57">
        <v>191518</v>
      </c>
      <c r="AB257" s="57">
        <v>146028028</v>
      </c>
      <c r="AC257" s="47">
        <f>1 - AD257</f>
        <v>0</v>
      </c>
      <c r="AD257" s="47">
        <f>Y257/AA257</f>
        <v>1</v>
      </c>
      <c r="AE257" s="47">
        <f>1 - AF257</f>
        <v>0</v>
      </c>
      <c r="AF257" s="47">
        <f>Z257/AB257</f>
        <v>1</v>
      </c>
    </row>
    <row r="258" spans="1:32" ht="110.4" x14ac:dyDescent="0.3">
      <c r="A258" s="34">
        <v>50</v>
      </c>
      <c r="B258" s="28" t="s">
        <v>168</v>
      </c>
      <c r="C258" s="28" t="s">
        <v>169</v>
      </c>
      <c r="D258" s="28" t="s">
        <v>24</v>
      </c>
      <c r="E258" s="28" t="s">
        <v>170</v>
      </c>
      <c r="F258" s="28" t="s">
        <v>171</v>
      </c>
      <c r="G258" s="44" t="s">
        <v>15</v>
      </c>
      <c r="H258" s="44" t="s">
        <v>15</v>
      </c>
      <c r="I258" s="45" t="str">
        <f>CONCATENATE("SUM(CASE WHEN (MCS.",F258," IN (' ', '~') OR MCS.",F258, " IS NULL) THEN 1 ELSE 0 END) AS ",F258,",")</f>
        <v>SUM(CASE WHEN (MCS.CLM_CARR_PMT_DNL_CD IN (' ', '~') OR MCS.CLM_CARR_PMT_DNL_CD IS NULL) THEN 1 ELSE 0 END) AS CLM_CARR_PMT_DNL_CD,</v>
      </c>
      <c r="J258" s="28" t="s">
        <v>171</v>
      </c>
      <c r="K258" s="46" t="s">
        <v>861</v>
      </c>
      <c r="L258" s="46">
        <v>0</v>
      </c>
      <c r="M258" s="46">
        <v>67126071</v>
      </c>
      <c r="N258" s="47">
        <f xml:space="preserve"> 1 -O258</f>
        <v>1</v>
      </c>
      <c r="O258" s="48">
        <f>L258/M258</f>
        <v>0</v>
      </c>
      <c r="P258" s="28" t="s">
        <v>171</v>
      </c>
      <c r="Q258" s="48"/>
      <c r="R258" s="48"/>
      <c r="S258" s="54"/>
      <c r="T258" s="48"/>
      <c r="U258" s="48"/>
      <c r="V258" s="24" t="s">
        <v>171</v>
      </c>
      <c r="W258" s="57" t="s">
        <v>862</v>
      </c>
      <c r="X258" s="57" t="s">
        <v>862</v>
      </c>
      <c r="Y258" s="57">
        <v>89974</v>
      </c>
      <c r="Z258" s="57">
        <v>71615601</v>
      </c>
      <c r="AA258" s="57">
        <v>89974</v>
      </c>
      <c r="AB258" s="57">
        <v>71615601</v>
      </c>
      <c r="AC258" s="47">
        <f>1 - AD258</f>
        <v>0</v>
      </c>
      <c r="AD258" s="47">
        <f>Y258/AA258</f>
        <v>1</v>
      </c>
      <c r="AE258" s="47">
        <f>1 - AF258</f>
        <v>0</v>
      </c>
      <c r="AF258" s="47">
        <f>Z258/AB258</f>
        <v>1</v>
      </c>
    </row>
    <row r="259" spans="1:32" ht="138" x14ac:dyDescent="0.3">
      <c r="A259" s="34">
        <v>73</v>
      </c>
      <c r="B259" s="28" t="s">
        <v>239</v>
      </c>
      <c r="C259" s="28" t="s">
        <v>240</v>
      </c>
      <c r="D259" s="28" t="s">
        <v>24</v>
      </c>
      <c r="E259" s="28" t="s">
        <v>25</v>
      </c>
      <c r="F259" s="28" t="s">
        <v>240</v>
      </c>
      <c r="G259" s="28" t="s">
        <v>860</v>
      </c>
      <c r="H259" s="44" t="s">
        <v>15</v>
      </c>
      <c r="I259" s="45" t="str">
        <f>CONCATENATE("SUM(CASE WHEN (MCS.",F259," IN (' ', '~') OR MCS.",F259, " IS NULL) THEN 1 ELSE 0 END) AS ",F259,",")</f>
        <v>SUM(CASE WHEN (MCS.CLM_CARE_IMPRVMT_MODEL_4_CD IN (' ', '~') OR MCS.CLM_CARE_IMPRVMT_MODEL_4_CD IS NULL) THEN 1 ELSE 0 END) AS CLM_CARE_IMPRVMT_MODEL_4_CD,</v>
      </c>
      <c r="J259" s="28" t="s">
        <v>240</v>
      </c>
      <c r="K259" s="46" t="s">
        <v>861</v>
      </c>
      <c r="L259" s="46">
        <v>0</v>
      </c>
      <c r="M259" s="46">
        <v>67078797</v>
      </c>
      <c r="N259" s="47">
        <f xml:space="preserve"> 1 -O259</f>
        <v>1</v>
      </c>
      <c r="O259" s="48">
        <f>L259/M259</f>
        <v>0</v>
      </c>
      <c r="P259" s="28" t="s">
        <v>240</v>
      </c>
      <c r="Q259" s="48"/>
      <c r="R259" s="48"/>
      <c r="S259" s="54"/>
      <c r="T259" s="48"/>
      <c r="U259" s="48"/>
      <c r="V259" s="43" t="s">
        <v>240</v>
      </c>
      <c r="W259" s="46" t="s">
        <v>862</v>
      </c>
      <c r="X259" s="46" t="s">
        <v>862</v>
      </c>
      <c r="Y259" s="46">
        <v>89974</v>
      </c>
      <c r="Z259" s="46">
        <v>71615601</v>
      </c>
      <c r="AA259" s="46">
        <v>89974</v>
      </c>
      <c r="AB259" s="46">
        <v>71615601</v>
      </c>
      <c r="AC259" s="47">
        <f>1 - AD259</f>
        <v>0</v>
      </c>
      <c r="AD259" s="47">
        <f>Y259/AA259</f>
        <v>1</v>
      </c>
      <c r="AE259" s="47">
        <f>1 - AF259</f>
        <v>0</v>
      </c>
      <c r="AF259" s="47">
        <f>Z259/AB259</f>
        <v>1</v>
      </c>
    </row>
    <row r="260" spans="1:32" ht="138" x14ac:dyDescent="0.3">
      <c r="A260" s="34">
        <v>72</v>
      </c>
      <c r="B260" s="28" t="s">
        <v>237</v>
      </c>
      <c r="C260" s="28" t="s">
        <v>238</v>
      </c>
      <c r="D260" s="28" t="s">
        <v>24</v>
      </c>
      <c r="E260" s="28" t="s">
        <v>25</v>
      </c>
      <c r="F260" s="28" t="s">
        <v>238</v>
      </c>
      <c r="G260" s="28" t="s">
        <v>860</v>
      </c>
      <c r="H260" s="44" t="s">
        <v>15</v>
      </c>
      <c r="I260" s="45" t="str">
        <f>CONCATENATE("SUM(CASE WHEN (MCS.",F260," IN (' ', '~') OR MCS.",F260, " IS NULL) THEN 1 ELSE 0 END) AS ",F260,",")</f>
        <v>SUM(CASE WHEN (MCS.CLM_CARE_IMPRVMT_MODEL_3_CD IN (' ', '~') OR MCS.CLM_CARE_IMPRVMT_MODEL_3_CD IS NULL) THEN 1 ELSE 0 END) AS CLM_CARE_IMPRVMT_MODEL_3_CD,</v>
      </c>
      <c r="J260" s="28" t="s">
        <v>238</v>
      </c>
      <c r="K260" s="46" t="s">
        <v>861</v>
      </c>
      <c r="L260" s="46">
        <v>0</v>
      </c>
      <c r="M260" s="46">
        <v>67078797</v>
      </c>
      <c r="N260" s="47">
        <f xml:space="preserve"> 1 -O260</f>
        <v>1</v>
      </c>
      <c r="O260" s="48">
        <f>L260/M260</f>
        <v>0</v>
      </c>
      <c r="P260" s="28" t="s">
        <v>238</v>
      </c>
      <c r="Q260" s="48"/>
      <c r="R260" s="48"/>
      <c r="S260" s="54"/>
      <c r="T260" s="48"/>
      <c r="U260" s="48"/>
      <c r="V260" s="43" t="s">
        <v>238</v>
      </c>
      <c r="W260" s="46" t="s">
        <v>862</v>
      </c>
      <c r="X260" s="46" t="s">
        <v>862</v>
      </c>
      <c r="Y260" s="46">
        <v>89974</v>
      </c>
      <c r="Z260" s="46">
        <v>71615601</v>
      </c>
      <c r="AA260" s="46">
        <v>89974</v>
      </c>
      <c r="AB260" s="46">
        <v>71615601</v>
      </c>
      <c r="AC260" s="47">
        <f>1 - AD260</f>
        <v>0</v>
      </c>
      <c r="AD260" s="47">
        <f>Y260/AA260</f>
        <v>1</v>
      </c>
      <c r="AE260" s="47">
        <f>1 - AF260</f>
        <v>0</v>
      </c>
      <c r="AF260" s="47">
        <f>Z260/AB260</f>
        <v>1</v>
      </c>
    </row>
    <row r="261" spans="1:32" ht="138" x14ac:dyDescent="0.3">
      <c r="A261" s="34">
        <v>71</v>
      </c>
      <c r="B261" s="28" t="s">
        <v>235</v>
      </c>
      <c r="C261" s="28" t="s">
        <v>236</v>
      </c>
      <c r="D261" s="28" t="s">
        <v>24</v>
      </c>
      <c r="E261" s="28" t="s">
        <v>25</v>
      </c>
      <c r="F261" s="28" t="s">
        <v>236</v>
      </c>
      <c r="G261" s="28" t="s">
        <v>860</v>
      </c>
      <c r="H261" s="44" t="s">
        <v>15</v>
      </c>
      <c r="I261" s="45" t="str">
        <f>CONCATENATE("SUM(CASE WHEN (MCS.",F261," IN (' ', '~') OR MCS.",F261, " IS NULL) THEN 1 ELSE 0 END) AS ",F261,",")</f>
        <v>SUM(CASE WHEN (MCS.CLM_CARE_IMPRVMT_MODEL_2_CD IN (' ', '~') OR MCS.CLM_CARE_IMPRVMT_MODEL_2_CD IS NULL) THEN 1 ELSE 0 END) AS CLM_CARE_IMPRVMT_MODEL_2_CD,</v>
      </c>
      <c r="J261" s="28" t="s">
        <v>236</v>
      </c>
      <c r="K261" s="46" t="s">
        <v>861</v>
      </c>
      <c r="L261" s="46">
        <v>0</v>
      </c>
      <c r="M261" s="46">
        <v>67078797</v>
      </c>
      <c r="N261" s="47">
        <f xml:space="preserve"> 1 -O261</f>
        <v>1</v>
      </c>
      <c r="O261" s="48">
        <f>L261/M261</f>
        <v>0</v>
      </c>
      <c r="P261" s="28" t="s">
        <v>236</v>
      </c>
      <c r="Q261" s="48"/>
      <c r="R261" s="48"/>
      <c r="S261" s="54"/>
      <c r="T261" s="48"/>
      <c r="U261" s="48"/>
      <c r="V261" s="43" t="s">
        <v>236</v>
      </c>
      <c r="W261" s="46" t="s">
        <v>862</v>
      </c>
      <c r="X261" s="46" t="s">
        <v>862</v>
      </c>
      <c r="Y261" s="46">
        <v>89974</v>
      </c>
      <c r="Z261" s="46">
        <v>71615601</v>
      </c>
      <c r="AA261" s="46">
        <v>89974</v>
      </c>
      <c r="AB261" s="46">
        <v>71615601</v>
      </c>
      <c r="AC261" s="47">
        <f>1 - AD261</f>
        <v>0</v>
      </c>
      <c r="AD261" s="47">
        <f>Y261/AA261</f>
        <v>1</v>
      </c>
      <c r="AE261" s="47">
        <f>1 - AF261</f>
        <v>0</v>
      </c>
      <c r="AF261" s="47">
        <f>Z261/AB261</f>
        <v>1</v>
      </c>
    </row>
    <row r="262" spans="1:32" ht="138" x14ac:dyDescent="0.3">
      <c r="A262" s="34">
        <v>70</v>
      </c>
      <c r="B262" s="28" t="s">
        <v>233</v>
      </c>
      <c r="C262" s="28" t="s">
        <v>234</v>
      </c>
      <c r="D262" s="28" t="s">
        <v>24</v>
      </c>
      <c r="E262" s="28" t="s">
        <v>25</v>
      </c>
      <c r="F262" s="28" t="s">
        <v>234</v>
      </c>
      <c r="G262" s="28" t="s">
        <v>860</v>
      </c>
      <c r="H262" s="44" t="s">
        <v>15</v>
      </c>
      <c r="I262" s="45" t="str">
        <f>CONCATENATE("SUM(CASE WHEN (MCS.",F262," IN (' ', '~') OR MCS.",F262, " IS NULL) THEN 1 ELSE 0 END) AS ",F262,",")</f>
        <v>SUM(CASE WHEN (MCS.CLM_CARE_IMPRVMT_MODEL_1_CD IN (' ', '~') OR MCS.CLM_CARE_IMPRVMT_MODEL_1_CD IS NULL) THEN 1 ELSE 0 END) AS CLM_CARE_IMPRVMT_MODEL_1_CD,</v>
      </c>
      <c r="J262" s="28" t="s">
        <v>234</v>
      </c>
      <c r="K262" s="46" t="s">
        <v>861</v>
      </c>
      <c r="L262" s="46">
        <v>0</v>
      </c>
      <c r="M262" s="46">
        <v>67078797</v>
      </c>
      <c r="N262" s="47">
        <f xml:space="preserve"> 1 -O262</f>
        <v>1</v>
      </c>
      <c r="O262" s="48">
        <f>L262/M262</f>
        <v>0</v>
      </c>
      <c r="P262" s="28" t="s">
        <v>234</v>
      </c>
      <c r="Q262" s="48"/>
      <c r="R262" s="48"/>
      <c r="S262" s="54"/>
      <c r="T262" s="48"/>
      <c r="U262" s="48"/>
      <c r="V262" s="43" t="s">
        <v>234</v>
      </c>
      <c r="W262" s="46" t="s">
        <v>862</v>
      </c>
      <c r="X262" s="46" t="s">
        <v>862</v>
      </c>
      <c r="Y262" s="46">
        <v>89974</v>
      </c>
      <c r="Z262" s="46">
        <v>71615601</v>
      </c>
      <c r="AA262" s="46">
        <v>89974</v>
      </c>
      <c r="AB262" s="46">
        <v>71615601</v>
      </c>
      <c r="AC262" s="47">
        <f>1 - AD262</f>
        <v>0</v>
      </c>
      <c r="AD262" s="47">
        <f>Y262/AA262</f>
        <v>1</v>
      </c>
      <c r="AE262" s="47">
        <f>1 - AF262</f>
        <v>0</v>
      </c>
      <c r="AF262" s="47">
        <f>Z262/AB262</f>
        <v>1</v>
      </c>
    </row>
    <row r="263" spans="1:32" ht="69" x14ac:dyDescent="0.3">
      <c r="A263" s="34" t="s">
        <v>860</v>
      </c>
      <c r="B263" s="28" t="s">
        <v>274</v>
      </c>
      <c r="C263" s="28" t="s">
        <v>275</v>
      </c>
      <c r="D263" s="28" t="s">
        <v>24</v>
      </c>
      <c r="E263" s="66" t="s">
        <v>46</v>
      </c>
      <c r="F263" s="66" t="s">
        <v>275</v>
      </c>
      <c r="G263" s="66" t="s">
        <v>860</v>
      </c>
      <c r="H263" s="67" t="s">
        <v>15</v>
      </c>
      <c r="I263" s="68" t="str">
        <f>CONCATENATE("SUM(CASE WHEN (MCS.",F263," IN (' ', '~') OR MCS.",F263, " IS NULL) THEN 1 ELSE 0 END) AS ",F263,",")</f>
        <v>SUM(CASE WHEN (MCS.CLM_CARC IN (' ', '~') OR MCS.CLM_CARC IS NULL) THEN 1 ELSE 0 END) AS CLM_CARC,</v>
      </c>
      <c r="J263" s="66" t="s">
        <v>275</v>
      </c>
      <c r="K263" s="69"/>
      <c r="L263" s="69"/>
      <c r="M263" s="69"/>
      <c r="N263" s="69"/>
      <c r="O263" s="70"/>
      <c r="P263" s="66" t="s">
        <v>275</v>
      </c>
      <c r="Q263" s="70"/>
      <c r="R263" s="70"/>
      <c r="S263" s="71"/>
      <c r="T263" s="70"/>
      <c r="U263" s="70"/>
      <c r="V263" s="68"/>
      <c r="W263" s="69"/>
      <c r="X263" s="69"/>
      <c r="Y263" s="69"/>
      <c r="Z263" s="69"/>
      <c r="AA263" s="69"/>
      <c r="AB263" s="69"/>
      <c r="AC263" s="69"/>
      <c r="AD263" s="69"/>
      <c r="AE263" s="69"/>
      <c r="AF263" s="69"/>
    </row>
    <row r="264" spans="1:32" ht="82.8" x14ac:dyDescent="0.3">
      <c r="A264" s="34">
        <v>90</v>
      </c>
      <c r="B264" s="28" t="s">
        <v>300</v>
      </c>
      <c r="C264" s="28" t="s">
        <v>301</v>
      </c>
      <c r="D264" s="28" t="s">
        <v>24</v>
      </c>
      <c r="E264" s="28" t="s">
        <v>31</v>
      </c>
      <c r="F264" s="43" t="s">
        <v>302</v>
      </c>
      <c r="G264" s="28" t="s">
        <v>860</v>
      </c>
      <c r="H264" s="44" t="s">
        <v>15</v>
      </c>
      <c r="I264" s="45" t="str">
        <f>CONCATENATE("SUM(CASE WHEN (",F264, " IS NULL) THEN 1 ELSE 0 END) AS ",F264,",")</f>
        <v>SUM(CASE WHEN (CLM_BLOOD_PT_FRNSH_QTY IS NULL) THEN 1 ELSE 0 END) AS CLM_BLOOD_PT_FRNSH_QTY,</v>
      </c>
      <c r="J264" s="43" t="s">
        <v>302</v>
      </c>
      <c r="K264" s="46" t="s">
        <v>861</v>
      </c>
      <c r="L264" s="46">
        <v>0</v>
      </c>
      <c r="M264" s="46">
        <v>67078797</v>
      </c>
      <c r="N264" s="47">
        <f xml:space="preserve"> 1 -O264</f>
        <v>1</v>
      </c>
      <c r="O264" s="48">
        <f>L264/M264</f>
        <v>0</v>
      </c>
      <c r="P264" s="49" t="s">
        <v>302</v>
      </c>
      <c r="Q264" s="50"/>
      <c r="R264" s="51">
        <v>0</v>
      </c>
      <c r="S264" s="54"/>
      <c r="T264" s="48"/>
      <c r="U264" s="48"/>
      <c r="V264" s="43" t="s">
        <v>302</v>
      </c>
      <c r="W264" s="46" t="s">
        <v>861</v>
      </c>
      <c r="X264" s="46" t="s">
        <v>861</v>
      </c>
      <c r="Y264" s="46">
        <v>0</v>
      </c>
      <c r="Z264" s="46">
        <v>0</v>
      </c>
      <c r="AA264" s="46">
        <v>89974</v>
      </c>
      <c r="AB264" s="46">
        <v>71615601</v>
      </c>
      <c r="AC264" s="47">
        <f>1 - AD264</f>
        <v>1</v>
      </c>
      <c r="AD264" s="47">
        <f>Y264/AA264</f>
        <v>0</v>
      </c>
      <c r="AE264" s="47">
        <f>1 - AF264</f>
        <v>1</v>
      </c>
      <c r="AF264" s="47">
        <f>Z264/AB264</f>
        <v>0</v>
      </c>
    </row>
    <row r="265" spans="1:32" ht="82.8" x14ac:dyDescent="0.3">
      <c r="A265" s="34">
        <v>91</v>
      </c>
      <c r="B265" s="28" t="s">
        <v>303</v>
      </c>
      <c r="C265" s="28" t="s">
        <v>304</v>
      </c>
      <c r="D265" s="28" t="s">
        <v>24</v>
      </c>
      <c r="E265" s="28" t="s">
        <v>25</v>
      </c>
      <c r="F265" s="28" t="s">
        <v>305</v>
      </c>
      <c r="G265" s="28" t="s">
        <v>860</v>
      </c>
      <c r="H265" s="44" t="s">
        <v>15</v>
      </c>
      <c r="I265" s="45" t="str">
        <f>CONCATENATE("SUM(CASE WHEN (MCS.",F265, " IS NULL) THEN 1 ELSE 0 END) AS ",F265,",")</f>
        <v>SUM(CASE WHEN (MCS.CLM_BLOOD_DDCTBL_PT_QTY IS NULL) THEN 1 ELSE 0 END) AS CLM_BLOOD_DDCTBL_PT_QTY,</v>
      </c>
      <c r="J265" s="28" t="s">
        <v>305</v>
      </c>
      <c r="K265" s="46" t="s">
        <v>861</v>
      </c>
      <c r="L265" s="46">
        <v>0</v>
      </c>
      <c r="M265" s="46">
        <v>67078797</v>
      </c>
      <c r="N265" s="47">
        <f xml:space="preserve"> 1 -O265</f>
        <v>1</v>
      </c>
      <c r="O265" s="48">
        <f>L265/M265</f>
        <v>0</v>
      </c>
      <c r="P265" s="28" t="s">
        <v>305</v>
      </c>
      <c r="Q265" s="48"/>
      <c r="R265" s="48"/>
      <c r="S265" s="54"/>
      <c r="T265" s="48"/>
      <c r="U265" s="48"/>
      <c r="V265" s="43" t="s">
        <v>305</v>
      </c>
      <c r="W265" s="46" t="s">
        <v>862</v>
      </c>
      <c r="X265" s="46" t="s">
        <v>862</v>
      </c>
      <c r="Y265" s="46">
        <v>89974</v>
      </c>
      <c r="Z265" s="46">
        <v>71615601</v>
      </c>
      <c r="AA265" s="46">
        <v>89974</v>
      </c>
      <c r="AB265" s="46">
        <v>71615601</v>
      </c>
      <c r="AC265" s="47">
        <f>1 - AD265</f>
        <v>0</v>
      </c>
      <c r="AD265" s="47">
        <f>Y265/AA265</f>
        <v>1</v>
      </c>
      <c r="AE265" s="47">
        <f>1 - AF265</f>
        <v>0</v>
      </c>
      <c r="AF265" s="47">
        <f>Z265/AB265</f>
        <v>1</v>
      </c>
    </row>
    <row r="266" spans="1:32" ht="110.4" x14ac:dyDescent="0.3">
      <c r="A266" s="34">
        <v>92</v>
      </c>
      <c r="B266" s="43" t="s">
        <v>306</v>
      </c>
      <c r="C266" s="43" t="s">
        <v>307</v>
      </c>
      <c r="D266" s="43" t="s">
        <v>24</v>
      </c>
      <c r="E266" s="28" t="s">
        <v>31</v>
      </c>
      <c r="F266" s="28" t="s">
        <v>308</v>
      </c>
      <c r="G266" s="43" t="s">
        <v>860</v>
      </c>
      <c r="H266" s="44" t="s">
        <v>15</v>
      </c>
      <c r="I266" s="45" t="str">
        <f>CONCATENATE("SUM(CASE WHEN ",F266," IN (' ', '~') OR ",F266, " IS NULL THEN 1 ELSE 0 END) AS ",F266,",")</f>
        <v>SUM(CASE WHEN CLM_BLG_PRVDR_NPI_NUM IN (' ', '~') OR CLM_BLG_PRVDR_NPI_NUM IS NULL THEN 1 ELSE 0 END) AS CLM_BLG_PRVDR_NPI_NUM,</v>
      </c>
      <c r="J266" s="28" t="s">
        <v>308</v>
      </c>
      <c r="K266" s="46" t="s">
        <v>861</v>
      </c>
      <c r="L266" s="46">
        <v>0</v>
      </c>
      <c r="M266" s="46">
        <v>67078797</v>
      </c>
      <c r="N266" s="47">
        <f xml:space="preserve"> 1 -O266</f>
        <v>1</v>
      </c>
      <c r="O266" s="48">
        <f>L266/M266</f>
        <v>0</v>
      </c>
      <c r="P266" s="49" t="s">
        <v>308</v>
      </c>
      <c r="Q266" s="50"/>
      <c r="R266" s="51">
        <v>0</v>
      </c>
      <c r="S266" s="54"/>
      <c r="T266" s="48"/>
      <c r="U266" s="48"/>
      <c r="V266" s="43" t="s">
        <v>308</v>
      </c>
      <c r="W266" s="46" t="s">
        <v>861</v>
      </c>
      <c r="X266" s="46" t="s">
        <v>861</v>
      </c>
      <c r="Y266" s="46">
        <v>0</v>
      </c>
      <c r="Z266" s="46">
        <v>0</v>
      </c>
      <c r="AA266" s="46">
        <v>89974</v>
      </c>
      <c r="AB266" s="46">
        <v>71615601</v>
      </c>
      <c r="AC266" s="47">
        <f>1 - AD266</f>
        <v>1</v>
      </c>
      <c r="AD266" s="47">
        <f>Y266/AA266</f>
        <v>0</v>
      </c>
      <c r="AE266" s="47">
        <f>1 - AF266</f>
        <v>1</v>
      </c>
      <c r="AF266" s="47">
        <f>Z266/AB266</f>
        <v>0</v>
      </c>
    </row>
    <row r="267" spans="1:32" ht="96.6" x14ac:dyDescent="0.3">
      <c r="A267" s="34">
        <v>156</v>
      </c>
      <c r="B267" s="28" t="s">
        <v>508</v>
      </c>
      <c r="C267" s="28" t="s">
        <v>509</v>
      </c>
      <c r="D267" s="28" t="s">
        <v>24</v>
      </c>
      <c r="E267" s="43" t="s">
        <v>436</v>
      </c>
      <c r="F267" s="43" t="s">
        <v>510</v>
      </c>
      <c r="G267" s="44" t="s">
        <v>15</v>
      </c>
      <c r="H267" s="44" t="s">
        <v>15</v>
      </c>
      <c r="I267" s="45" t="str">
        <f>CONCATENATE("SUM(CASE WHEN (MCS.",F267, " IS NULL) THEN 1 ELSE 0 END) AS ",F267,",")</f>
        <v>SUM(CASE WHEN (MCS.CLM_BENE_PRMRY_PYR_PD_AMT IS NULL) THEN 1 ELSE 0 END) AS CLM_BENE_PRMRY_PYR_PD_AMT,</v>
      </c>
      <c r="J267" s="43" t="s">
        <v>510</v>
      </c>
      <c r="K267" s="46" t="s">
        <v>861</v>
      </c>
      <c r="L267" s="46">
        <v>0</v>
      </c>
      <c r="M267" s="46">
        <v>135449900</v>
      </c>
      <c r="N267" s="47">
        <f xml:space="preserve"> 1 -O267</f>
        <v>1</v>
      </c>
      <c r="O267" s="48">
        <f>L267/M267</f>
        <v>0</v>
      </c>
      <c r="P267" s="43" t="s">
        <v>510</v>
      </c>
      <c r="Q267" s="48"/>
      <c r="R267" s="48"/>
      <c r="S267" s="54"/>
      <c r="T267" s="48"/>
      <c r="U267" s="48"/>
      <c r="V267" s="24" t="s">
        <v>510</v>
      </c>
      <c r="W267" s="58" t="s">
        <v>862</v>
      </c>
      <c r="X267" s="58" t="s">
        <v>862</v>
      </c>
      <c r="Y267" s="57">
        <v>191518</v>
      </c>
      <c r="Z267" s="57">
        <v>146028028</v>
      </c>
      <c r="AA267" s="57">
        <v>191518</v>
      </c>
      <c r="AB267" s="57">
        <v>146028028</v>
      </c>
      <c r="AC267" s="47">
        <f>1 - AD267</f>
        <v>0</v>
      </c>
      <c r="AD267" s="47">
        <f>Y267/AA267</f>
        <v>1</v>
      </c>
      <c r="AE267" s="47">
        <f>1 - AF267</f>
        <v>0</v>
      </c>
      <c r="AF267" s="47">
        <f>Z267/AB267</f>
        <v>1</v>
      </c>
    </row>
    <row r="268" spans="1:32" ht="69" x14ac:dyDescent="0.3">
      <c r="A268" s="34">
        <v>59</v>
      </c>
      <c r="B268" s="28" t="s">
        <v>200</v>
      </c>
      <c r="C268" s="28" t="s">
        <v>201</v>
      </c>
      <c r="D268" s="28" t="s">
        <v>24</v>
      </c>
      <c r="E268" s="28" t="s">
        <v>31</v>
      </c>
      <c r="F268" s="43" t="s">
        <v>203</v>
      </c>
      <c r="G268" s="44" t="s">
        <v>15</v>
      </c>
      <c r="H268" s="44" t="s">
        <v>15</v>
      </c>
      <c r="I268" s="45" t="str">
        <f>CONCATENATE("SUM(CASE WHEN (",F268, " IS NULL) THEN 1 ELSE 0 END) AS ",F268,",")</f>
        <v>SUM(CASE WHEN (CLM_BENE_PMT_AMT IS NULL) THEN 1 ELSE 0 END) AS CLM_BENE_PMT_AMT,</v>
      </c>
      <c r="J268" s="43" t="s">
        <v>203</v>
      </c>
      <c r="K268" s="46" t="s">
        <v>861</v>
      </c>
      <c r="L268" s="46">
        <v>0</v>
      </c>
      <c r="M268" s="46">
        <v>67078797</v>
      </c>
      <c r="N268" s="47">
        <f xml:space="preserve"> 1 -O268</f>
        <v>1</v>
      </c>
      <c r="O268" s="48">
        <f>L268/M268</f>
        <v>0</v>
      </c>
      <c r="P268" s="49" t="s">
        <v>203</v>
      </c>
      <c r="Q268" s="50"/>
      <c r="R268" s="51">
        <v>0</v>
      </c>
      <c r="S268" s="54"/>
      <c r="T268" s="48"/>
      <c r="U268" s="48"/>
      <c r="V268" s="43" t="s">
        <v>203</v>
      </c>
      <c r="W268" s="46" t="s">
        <v>861</v>
      </c>
      <c r="X268" s="46" t="s">
        <v>861</v>
      </c>
      <c r="Y268" s="46">
        <v>0</v>
      </c>
      <c r="Z268" s="46">
        <v>0</v>
      </c>
      <c r="AA268" s="46">
        <v>89974</v>
      </c>
      <c r="AB268" s="46">
        <v>71615601</v>
      </c>
      <c r="AC268" s="47">
        <f>1 - AD268</f>
        <v>1</v>
      </c>
      <c r="AD268" s="47">
        <f>Y268/AA268</f>
        <v>0</v>
      </c>
      <c r="AE268" s="47">
        <f>1 - AF268</f>
        <v>1</v>
      </c>
      <c r="AF268" s="47">
        <f>Z268/AB268</f>
        <v>0</v>
      </c>
    </row>
    <row r="269" spans="1:32" ht="69" x14ac:dyDescent="0.3">
      <c r="A269" s="34">
        <v>58</v>
      </c>
      <c r="B269" s="28" t="s">
        <v>196</v>
      </c>
      <c r="C269" s="28" t="s">
        <v>197</v>
      </c>
      <c r="D269" s="28" t="s">
        <v>24</v>
      </c>
      <c r="E269" s="28" t="s">
        <v>31</v>
      </c>
      <c r="F269" s="43" t="s">
        <v>199</v>
      </c>
      <c r="G269" s="44" t="s">
        <v>15</v>
      </c>
      <c r="H269" s="44" t="s">
        <v>15</v>
      </c>
      <c r="I269" s="45" t="str">
        <f>CONCATENATE("SUM(CASE WHEN (",F269, " IS NULL) THEN 1 ELSE 0 END) AS ",F269,",")</f>
        <v>SUM(CASE WHEN (CLM_BENE_PD_AMT IS NULL) THEN 1 ELSE 0 END) AS CLM_BENE_PD_AMT,</v>
      </c>
      <c r="J269" s="43" t="s">
        <v>199</v>
      </c>
      <c r="K269" s="46" t="s">
        <v>861</v>
      </c>
      <c r="L269" s="46">
        <v>0</v>
      </c>
      <c r="M269" s="46">
        <v>67078797</v>
      </c>
      <c r="N269" s="47">
        <f xml:space="preserve"> 1 -O269</f>
        <v>1</v>
      </c>
      <c r="O269" s="48">
        <f>L269/M269</f>
        <v>0</v>
      </c>
      <c r="P269" s="49" t="s">
        <v>199</v>
      </c>
      <c r="Q269" s="50"/>
      <c r="R269" s="51">
        <v>0</v>
      </c>
      <c r="S269" s="54"/>
      <c r="T269" s="48"/>
      <c r="U269" s="48"/>
      <c r="V269" s="43" t="s">
        <v>199</v>
      </c>
      <c r="W269" s="46" t="s">
        <v>861</v>
      </c>
      <c r="X269" s="46" t="s">
        <v>861</v>
      </c>
      <c r="Y269" s="46">
        <v>0</v>
      </c>
      <c r="Z269" s="46">
        <v>0</v>
      </c>
      <c r="AA269" s="46">
        <v>89974</v>
      </c>
      <c r="AB269" s="46">
        <v>71615601</v>
      </c>
      <c r="AC269" s="47">
        <f>1 - AD269</f>
        <v>1</v>
      </c>
      <c r="AD269" s="47">
        <f>Y269/AA269</f>
        <v>0</v>
      </c>
      <c r="AE269" s="47">
        <f>1 - AF269</f>
        <v>1</v>
      </c>
      <c r="AF269" s="47">
        <f>Z269/AB269</f>
        <v>0</v>
      </c>
    </row>
    <row r="270" spans="1:32" ht="96.6" x14ac:dyDescent="0.3">
      <c r="A270" s="34">
        <v>83</v>
      </c>
      <c r="B270" s="43" t="s">
        <v>263</v>
      </c>
      <c r="C270" s="43" t="s">
        <v>264</v>
      </c>
      <c r="D270" s="43" t="s">
        <v>24</v>
      </c>
      <c r="E270" s="28" t="s">
        <v>31</v>
      </c>
      <c r="F270" s="43" t="s">
        <v>266</v>
      </c>
      <c r="G270" s="43" t="s">
        <v>860</v>
      </c>
      <c r="H270" s="44" t="s">
        <v>15</v>
      </c>
      <c r="I270" s="45" t="str">
        <f>CONCATENATE("SUM(CASE WHEN ",F270," IN (' ', '~') OR ",F270, " IS NULL THEN 1 ELSE 0 END) AS ",F270,",")</f>
        <v>SUM(CASE WHEN CLM_BENE_MBI_ID IN (' ', '~') OR CLM_BENE_MBI_ID IS NULL THEN 1 ELSE 0 END) AS CLM_BENE_MBI_ID,</v>
      </c>
      <c r="J270" s="43" t="s">
        <v>266</v>
      </c>
      <c r="K270" s="46" t="s">
        <v>861</v>
      </c>
      <c r="L270" s="46">
        <v>0</v>
      </c>
      <c r="M270" s="46">
        <v>67078797</v>
      </c>
      <c r="N270" s="47">
        <f xml:space="preserve"> 1 -O270</f>
        <v>1</v>
      </c>
      <c r="O270" s="48">
        <f>L270/M270</f>
        <v>0</v>
      </c>
      <c r="P270" s="49" t="s">
        <v>266</v>
      </c>
      <c r="Q270" s="50"/>
      <c r="R270" s="51">
        <v>0</v>
      </c>
      <c r="S270" s="52">
        <v>67126071</v>
      </c>
      <c r="T270" s="48"/>
      <c r="U270" s="48"/>
      <c r="V270" s="43" t="s">
        <v>266</v>
      </c>
      <c r="W270" s="46" t="s">
        <v>861</v>
      </c>
      <c r="X270" s="46" t="s">
        <v>861</v>
      </c>
      <c r="Y270" s="46">
        <v>0</v>
      </c>
      <c r="Z270" s="46">
        <v>2</v>
      </c>
      <c r="AA270" s="46">
        <v>89974</v>
      </c>
      <c r="AB270" s="46">
        <v>71615601</v>
      </c>
      <c r="AC270" s="47">
        <f>1 - AD270</f>
        <v>1</v>
      </c>
      <c r="AD270" s="47">
        <f>Y270/AA270</f>
        <v>0</v>
      </c>
      <c r="AE270" s="47">
        <f>1 - AF270</f>
        <v>0.99999997207312408</v>
      </c>
      <c r="AF270" s="47">
        <f>Z270/AB270</f>
        <v>2.7926875877226806E-8</v>
      </c>
    </row>
    <row r="271" spans="1:32" ht="110.4" x14ac:dyDescent="0.3">
      <c r="A271" s="34">
        <v>46</v>
      </c>
      <c r="B271" s="28" t="s">
        <v>153</v>
      </c>
      <c r="C271" s="28" t="s">
        <v>154</v>
      </c>
      <c r="D271" s="28" t="s">
        <v>24</v>
      </c>
      <c r="E271" s="28" t="s">
        <v>25</v>
      </c>
      <c r="F271" s="28" t="s">
        <v>155</v>
      </c>
      <c r="G271" s="44" t="s">
        <v>15</v>
      </c>
      <c r="H271" s="44" t="s">
        <v>15</v>
      </c>
      <c r="I271" s="45" t="str">
        <f>CONCATENATE("SUM(CASE WHEN (MCS.",F271," IN (' ', '~') OR MCS.",F271, " IS NULL) THEN 1 ELSE 0 END) AS ",F271,",")</f>
        <v>SUM(CASE WHEN (MCS.CLM_BENE_CWF_LOC_CD IN (' ', '~') OR MCS.CLM_BENE_CWF_LOC_CD IS NULL) THEN 1 ELSE 0 END) AS CLM_BENE_CWF_LOC_CD,</v>
      </c>
      <c r="J271" s="28" t="s">
        <v>155</v>
      </c>
      <c r="K271" s="46" t="s">
        <v>861</v>
      </c>
      <c r="L271" s="46">
        <v>0</v>
      </c>
      <c r="M271" s="46">
        <v>67078797</v>
      </c>
      <c r="N271" s="47">
        <f xml:space="preserve"> 1 -O271</f>
        <v>1</v>
      </c>
      <c r="O271" s="48">
        <f>L271/M271</f>
        <v>0</v>
      </c>
      <c r="P271" s="43" t="s">
        <v>155</v>
      </c>
      <c r="Q271" s="48"/>
      <c r="R271" s="48"/>
      <c r="S271" s="54"/>
      <c r="T271" s="48"/>
      <c r="U271" s="48"/>
      <c r="V271" s="43" t="s">
        <v>155</v>
      </c>
      <c r="W271" s="46" t="s">
        <v>862</v>
      </c>
      <c r="X271" s="46" t="s">
        <v>862</v>
      </c>
      <c r="Y271" s="46">
        <v>89974</v>
      </c>
      <c r="Z271" s="46">
        <v>71615601</v>
      </c>
      <c r="AA271" s="46">
        <v>89974</v>
      </c>
      <c r="AB271" s="46">
        <v>71615601</v>
      </c>
      <c r="AC271" s="47">
        <f>1 - AD271</f>
        <v>0</v>
      </c>
      <c r="AD271" s="47">
        <f>Y271/AA271</f>
        <v>1</v>
      </c>
      <c r="AE271" s="47">
        <f>1 - AF271</f>
        <v>0</v>
      </c>
      <c r="AF271" s="47">
        <f>Z271/AB271</f>
        <v>1</v>
      </c>
    </row>
    <row r="272" spans="1:32" ht="82.8" x14ac:dyDescent="0.3">
      <c r="A272" s="34">
        <v>61</v>
      </c>
      <c r="B272" s="28" t="s">
        <v>207</v>
      </c>
      <c r="C272" s="28" t="s">
        <v>208</v>
      </c>
      <c r="D272" s="28" t="s">
        <v>24</v>
      </c>
      <c r="E272" s="28" t="s">
        <v>31</v>
      </c>
      <c r="F272" s="28" t="s">
        <v>209</v>
      </c>
      <c r="G272" s="44" t="s">
        <v>15</v>
      </c>
      <c r="H272" s="44" t="s">
        <v>15</v>
      </c>
      <c r="I272" s="45" t="str">
        <f>CONCATENATE("SUM(CASE WHEN (",F272, " IS NULL) THEN 1 ELSE 0 END) AS ",F272,",")</f>
        <v>SUM(CASE WHEN (CLM_ALOWD_CHRG_AMT IS NULL) THEN 1 ELSE 0 END) AS CLM_ALOWD_CHRG_AMT,</v>
      </c>
      <c r="J272" s="28" t="s">
        <v>209</v>
      </c>
      <c r="K272" s="46" t="s">
        <v>861</v>
      </c>
      <c r="L272" s="46">
        <v>0</v>
      </c>
      <c r="M272" s="46">
        <v>67078797</v>
      </c>
      <c r="N272" s="47">
        <f xml:space="preserve"> 1 -O272</f>
        <v>1</v>
      </c>
      <c r="O272" s="48">
        <f>L272/M272</f>
        <v>0</v>
      </c>
      <c r="P272" s="49" t="s">
        <v>209</v>
      </c>
      <c r="Q272" s="50"/>
      <c r="R272" s="51">
        <v>0</v>
      </c>
      <c r="S272" s="54"/>
      <c r="T272" s="48"/>
      <c r="U272" s="48"/>
      <c r="V272" s="43" t="s">
        <v>209</v>
      </c>
      <c r="W272" s="46" t="s">
        <v>861</v>
      </c>
      <c r="X272" s="46" t="s">
        <v>861</v>
      </c>
      <c r="Y272" s="46">
        <v>0</v>
      </c>
      <c r="Z272" s="46">
        <v>0</v>
      </c>
      <c r="AA272" s="46">
        <v>89974</v>
      </c>
      <c r="AB272" s="46">
        <v>71615601</v>
      </c>
      <c r="AC272" s="47">
        <f>1 - AD272</f>
        <v>1</v>
      </c>
      <c r="AD272" s="47">
        <f>Y272/AA272</f>
        <v>0</v>
      </c>
      <c r="AE272" s="47">
        <f>1 - AF272</f>
        <v>1</v>
      </c>
      <c r="AF272" s="47">
        <f>Z272/AB272</f>
        <v>0</v>
      </c>
    </row>
    <row r="273" spans="1:32" ht="110.4" x14ac:dyDescent="0.3">
      <c r="A273" s="34">
        <v>178</v>
      </c>
      <c r="B273" s="28" t="s">
        <v>572</v>
      </c>
      <c r="C273" s="28" t="s">
        <v>573</v>
      </c>
      <c r="D273" s="28" t="s">
        <v>24</v>
      </c>
      <c r="E273" s="28" t="s">
        <v>436</v>
      </c>
      <c r="F273" s="28" t="s">
        <v>574</v>
      </c>
      <c r="G273" s="55" t="s">
        <v>15</v>
      </c>
      <c r="H273" s="44" t="s">
        <v>15</v>
      </c>
      <c r="I273" s="45" t="str">
        <f>CONCATENATE("SUM(CASE WHEN (MCS.",F273," IN (' ', '~') OR MCS.",F273, " IS NULL) THEN 1 ELSE 0 END) AS ",F273,",")</f>
        <v>SUM(CASE WHEN (MCS.CLM_ADDTNL_DCMTN_CD IN (' ', '~') OR MCS.CLM_ADDTNL_DCMTN_CD IS NULL) THEN 1 ELSE 0 END) AS CLM_ADDTNL_DCMTN_CD,</v>
      </c>
      <c r="J273" s="28" t="s">
        <v>574</v>
      </c>
      <c r="K273" s="46" t="s">
        <v>861</v>
      </c>
      <c r="L273" s="46">
        <v>0</v>
      </c>
      <c r="M273" s="46">
        <v>135449900</v>
      </c>
      <c r="N273" s="47">
        <f xml:space="preserve"> 1 -O273</f>
        <v>1</v>
      </c>
      <c r="O273" s="48">
        <f>L273/M273</f>
        <v>0</v>
      </c>
      <c r="P273" s="28" t="s">
        <v>574</v>
      </c>
      <c r="Q273" s="48"/>
      <c r="R273" s="48"/>
      <c r="S273" s="54"/>
      <c r="T273" s="48"/>
      <c r="U273" s="48"/>
      <c r="V273" s="24" t="s">
        <v>574</v>
      </c>
      <c r="W273" s="58" t="s">
        <v>862</v>
      </c>
      <c r="X273" s="58" t="s">
        <v>862</v>
      </c>
      <c r="Y273" s="57">
        <v>191518</v>
      </c>
      <c r="Z273" s="57">
        <v>146028028</v>
      </c>
      <c r="AA273" s="57">
        <v>191518</v>
      </c>
      <c r="AB273" s="57">
        <v>146028028</v>
      </c>
      <c r="AC273" s="47">
        <f>1 - AD273</f>
        <v>0</v>
      </c>
      <c r="AD273" s="47">
        <f>Y273/AA273</f>
        <v>1</v>
      </c>
      <c r="AE273" s="47">
        <f>1 - AF273</f>
        <v>0</v>
      </c>
      <c r="AF273" s="47">
        <f>Z273/AB273</f>
        <v>1</v>
      </c>
    </row>
    <row r="274" spans="1:32" ht="96.6" x14ac:dyDescent="0.3">
      <c r="A274" s="34">
        <v>82</v>
      </c>
      <c r="B274" s="43" t="s">
        <v>261</v>
      </c>
      <c r="C274" s="43" t="s">
        <v>262</v>
      </c>
      <c r="D274" s="43" t="s">
        <v>24</v>
      </c>
      <c r="E274" s="43" t="s">
        <v>25</v>
      </c>
      <c r="F274" s="43" t="s">
        <v>262</v>
      </c>
      <c r="G274" s="43" t="s">
        <v>860</v>
      </c>
      <c r="H274" s="44" t="s">
        <v>15</v>
      </c>
      <c r="I274" s="45" t="str">
        <f>CONCATENATE("SUM(CASE WHEN (MCS.",F274," IN (' ', '~') OR MCS.",F274, " IS NULL) THEN 1 ELSE 0 END) AS ",F274,",")</f>
        <v>SUM(CASE WHEN (MCS.CLM_ACO_ID_NUM IN (' ', '~') OR MCS.CLM_ACO_ID_NUM IS NULL) THEN 1 ELSE 0 END) AS CLM_ACO_ID_NUM,</v>
      </c>
      <c r="J274" s="43" t="s">
        <v>262</v>
      </c>
      <c r="K274" s="46" t="s">
        <v>861</v>
      </c>
      <c r="L274" s="46">
        <v>64583495</v>
      </c>
      <c r="M274" s="46">
        <v>67078797</v>
      </c>
      <c r="N274" s="47">
        <f xml:space="preserve"> 1 -O274</f>
        <v>3.7199563969520844E-2</v>
      </c>
      <c r="O274" s="48">
        <f>L274/M274</f>
        <v>0.96280043603047916</v>
      </c>
      <c r="P274" s="43" t="s">
        <v>262</v>
      </c>
      <c r="Q274" s="48"/>
      <c r="R274" s="48"/>
      <c r="S274" s="54"/>
      <c r="T274" s="48"/>
      <c r="U274" s="48"/>
      <c r="V274" s="43" t="s">
        <v>262</v>
      </c>
      <c r="W274" s="46" t="s">
        <v>862</v>
      </c>
      <c r="X274" s="46" t="s">
        <v>862</v>
      </c>
      <c r="Y274" s="46">
        <v>89974</v>
      </c>
      <c r="Z274" s="46">
        <v>71615601</v>
      </c>
      <c r="AA274" s="46">
        <v>89974</v>
      </c>
      <c r="AB274" s="46">
        <v>71615601</v>
      </c>
      <c r="AC274" s="47">
        <f>1 - AD274</f>
        <v>0</v>
      </c>
      <c r="AD274" s="47">
        <f>Y274/AA274</f>
        <v>1</v>
      </c>
      <c r="AE274" s="47">
        <f>1 - AF274</f>
        <v>0</v>
      </c>
      <c r="AF274" s="47">
        <f>Z274/AB274</f>
        <v>1</v>
      </c>
    </row>
    <row r="275" spans="1:32" ht="69" x14ac:dyDescent="0.3">
      <c r="A275" s="34">
        <v>44</v>
      </c>
      <c r="B275" s="28" t="s">
        <v>147</v>
      </c>
      <c r="C275" s="28" t="s">
        <v>148</v>
      </c>
      <c r="D275" s="28" t="s">
        <v>24</v>
      </c>
      <c r="E275" s="28" t="s">
        <v>25</v>
      </c>
      <c r="F275" s="28" t="s">
        <v>867</v>
      </c>
      <c r="G275" s="44" t="s">
        <v>15</v>
      </c>
      <c r="H275" s="44" t="s">
        <v>15</v>
      </c>
      <c r="I275" s="45" t="str">
        <f>CONCATENATE("SUM(CASE WHEN (MCS.",F275, " IS NULL) THEN 1 ELSE 0 END) AS ",F275,",")</f>
        <v>SUM(CASE WHEN (MCS.CLM_1ST_NAME IS NULL) THEN 1 ELSE 0 END) AS CLM_1ST_NAME,</v>
      </c>
      <c r="J275" s="28" t="s">
        <v>866</v>
      </c>
      <c r="K275" s="46" t="s">
        <v>861</v>
      </c>
      <c r="L275" s="46">
        <v>0</v>
      </c>
      <c r="M275" s="46">
        <v>67078797</v>
      </c>
      <c r="N275" s="47">
        <f xml:space="preserve"> 1 -O275</f>
        <v>1</v>
      </c>
      <c r="O275" s="48">
        <f>L275/M275</f>
        <v>0</v>
      </c>
      <c r="P275" s="43" t="s">
        <v>867</v>
      </c>
      <c r="Q275" s="48"/>
      <c r="R275" s="48"/>
      <c r="S275" s="54"/>
      <c r="T275" s="48"/>
      <c r="U275" s="48"/>
      <c r="V275" s="43" t="s">
        <v>867</v>
      </c>
      <c r="W275" s="46" t="s">
        <v>861</v>
      </c>
      <c r="X275" s="46" t="s">
        <v>861</v>
      </c>
      <c r="Y275" s="46">
        <v>0</v>
      </c>
      <c r="Z275" s="46">
        <v>0</v>
      </c>
      <c r="AA275" s="46">
        <v>89974</v>
      </c>
      <c r="AB275" s="46">
        <v>71615601</v>
      </c>
      <c r="AC275" s="47">
        <f>1 - AD275</f>
        <v>1</v>
      </c>
      <c r="AD275" s="47">
        <f>Y275/AA275</f>
        <v>0</v>
      </c>
      <c r="AE275" s="47">
        <f>1 - AF275</f>
        <v>1</v>
      </c>
      <c r="AF275" s="47">
        <f>Z275/AB275</f>
        <v>0</v>
      </c>
    </row>
    <row r="276" spans="1:32" ht="124.2" x14ac:dyDescent="0.3">
      <c r="A276" s="34">
        <v>237</v>
      </c>
      <c r="B276" s="28" t="s">
        <v>777</v>
      </c>
      <c r="C276" s="28" t="s">
        <v>778</v>
      </c>
      <c r="D276" s="28" t="s">
        <v>24</v>
      </c>
      <c r="E276" s="66" t="s">
        <v>46</v>
      </c>
      <c r="F276" s="66" t="s">
        <v>778</v>
      </c>
      <c r="G276" s="72" t="s">
        <v>779</v>
      </c>
      <c r="H276" s="67" t="s">
        <v>15</v>
      </c>
      <c r="I276" s="68" t="str">
        <f>CONCATENATE("SUM(CASE WHEN (MCS.",F276," IN (' ', '~') OR MCS.",F276, " IS NULL) THEN 1 ELSE 0 END) AS ",F276,",")</f>
        <v>SUM(CASE WHEN (MCS.CARR_LINE_PRVDR_VLDTN_CD IN (' ', '~') OR MCS.CARR_LINE_PRVDR_VLDTN_CD IS NULL) THEN 1 ELSE 0 END) AS CARR_LINE_PRVDR_VLDTN_CD,</v>
      </c>
      <c r="J276" s="66" t="s">
        <v>778</v>
      </c>
      <c r="K276" s="69"/>
      <c r="L276" s="69"/>
      <c r="M276" s="69"/>
      <c r="N276" s="69"/>
      <c r="O276" s="70"/>
      <c r="P276" s="66" t="s">
        <v>778</v>
      </c>
      <c r="Q276" s="70"/>
      <c r="R276" s="70"/>
      <c r="S276" s="71"/>
      <c r="T276" s="70"/>
      <c r="U276" s="70"/>
      <c r="V276" s="68"/>
      <c r="W276" s="69"/>
      <c r="X276" s="69"/>
      <c r="Y276" s="69"/>
      <c r="Z276" s="69"/>
      <c r="AA276" s="69"/>
      <c r="AB276" s="69"/>
      <c r="AC276" s="69"/>
      <c r="AD276" s="69"/>
      <c r="AE276" s="69"/>
      <c r="AF276" s="69"/>
    </row>
    <row r="277" spans="1:32" ht="96.6" x14ac:dyDescent="0.3">
      <c r="A277" s="34">
        <v>250</v>
      </c>
      <c r="B277" s="43" t="s">
        <v>824</v>
      </c>
      <c r="C277" s="28" t="s">
        <v>803</v>
      </c>
      <c r="D277" s="28" t="s">
        <v>825</v>
      </c>
      <c r="E277" s="28" t="s">
        <v>31</v>
      </c>
      <c r="F277" s="28" t="s">
        <v>826</v>
      </c>
      <c r="G277" s="44" t="s">
        <v>15</v>
      </c>
      <c r="H277" s="28" t="s">
        <v>827</v>
      </c>
      <c r="I277" s="45" t="str">
        <f>CONCATENATE("SUM(CASE WHEN ",F277," IN (' ', '~') OR ",F277, " IS NULL THEN 1 ELSE 0 END) AS ",F277,",")</f>
        <v>SUM(CASE WHEN BENE_SK_LKP_CD IN (' ', '~') OR BENE_SK_LKP_CD IS NULL THEN 1 ELSE 0 END) AS BENE_SK_LKP_CD,</v>
      </c>
      <c r="J277" s="28" t="s">
        <v>826</v>
      </c>
      <c r="K277" s="46" t="s">
        <v>861</v>
      </c>
      <c r="L277" s="46">
        <v>0</v>
      </c>
      <c r="M277" s="46">
        <v>67078797</v>
      </c>
      <c r="N277" s="47">
        <f xml:space="preserve"> 1 -O277</f>
        <v>1</v>
      </c>
      <c r="O277" s="48">
        <f>L277/M277</f>
        <v>0</v>
      </c>
      <c r="P277" s="49" t="s">
        <v>826</v>
      </c>
      <c r="Q277" s="50"/>
      <c r="R277" s="51">
        <v>0</v>
      </c>
      <c r="S277" s="54"/>
      <c r="T277" s="48"/>
      <c r="U277" s="48"/>
      <c r="V277" s="43" t="s">
        <v>826</v>
      </c>
      <c r="W277" s="46" t="s">
        <v>861</v>
      </c>
      <c r="X277" s="46" t="s">
        <v>861</v>
      </c>
      <c r="Y277" s="46">
        <v>0</v>
      </c>
      <c r="Z277" s="46">
        <v>0</v>
      </c>
      <c r="AA277" s="46">
        <v>89974</v>
      </c>
      <c r="AB277" s="46">
        <v>71615601</v>
      </c>
      <c r="AC277" s="47">
        <f>1 - AD277</f>
        <v>1</v>
      </c>
      <c r="AD277" s="47">
        <f>Y277/AA277</f>
        <v>0</v>
      </c>
      <c r="AE277" s="47">
        <f>1 - AF277</f>
        <v>1</v>
      </c>
      <c r="AF277" s="47">
        <f>Z277/AB277</f>
        <v>0</v>
      </c>
    </row>
    <row r="278" spans="1:32" ht="69" x14ac:dyDescent="0.3">
      <c r="A278" s="34">
        <v>39</v>
      </c>
      <c r="B278" s="43" t="s">
        <v>132</v>
      </c>
      <c r="C278" s="28" t="s">
        <v>133</v>
      </c>
      <c r="D278" s="28" t="s">
        <v>24</v>
      </c>
      <c r="E278" s="28" t="s">
        <v>31</v>
      </c>
      <c r="F278" s="43" t="s">
        <v>134</v>
      </c>
      <c r="G278" s="44" t="s">
        <v>15</v>
      </c>
      <c r="H278" s="44" t="s">
        <v>15</v>
      </c>
      <c r="I278" s="45" t="str">
        <f>CONCATENATE("SUM(CASE WHEN ",F278," IN (' ', '~') OR ",F278, " IS NULL THEN 1 ELSE 0 END) AS ",F278,",")</f>
        <v>SUM(CASE WHEN BENE_SEX_CD IN (' ', '~') OR BENE_SEX_CD IS NULL THEN 1 ELSE 0 END) AS BENE_SEX_CD,</v>
      </c>
      <c r="J278" s="43" t="s">
        <v>134</v>
      </c>
      <c r="K278" s="46" t="s">
        <v>861</v>
      </c>
      <c r="L278" s="46">
        <v>0</v>
      </c>
      <c r="M278" s="46">
        <v>67078797</v>
      </c>
      <c r="N278" s="47">
        <f xml:space="preserve"> 1 -O278</f>
        <v>1</v>
      </c>
      <c r="O278" s="48">
        <f>L278/M278</f>
        <v>0</v>
      </c>
      <c r="P278" s="49" t="s">
        <v>134</v>
      </c>
      <c r="Q278" s="50"/>
      <c r="R278" s="51">
        <v>0</v>
      </c>
      <c r="S278" s="54"/>
      <c r="T278" s="48"/>
      <c r="U278" s="48"/>
      <c r="V278" s="43" t="s">
        <v>134</v>
      </c>
      <c r="W278" s="46" t="s">
        <v>861</v>
      </c>
      <c r="X278" s="46" t="s">
        <v>861</v>
      </c>
      <c r="Y278" s="46">
        <v>4</v>
      </c>
      <c r="Z278" s="46">
        <v>0</v>
      </c>
      <c r="AA278" s="46">
        <v>89974</v>
      </c>
      <c r="AB278" s="46">
        <v>71615601</v>
      </c>
      <c r="AC278" s="47">
        <f>1 - AD278</f>
        <v>0.99995554271233911</v>
      </c>
      <c r="AD278" s="47">
        <f>Y278/AA278</f>
        <v>4.4457287660879808E-5</v>
      </c>
      <c r="AE278" s="47">
        <f>1 - AF278</f>
        <v>1</v>
      </c>
      <c r="AF278" s="47">
        <f>Z278/AB278</f>
        <v>0</v>
      </c>
    </row>
    <row r="279" spans="1:32" ht="138" x14ac:dyDescent="0.3">
      <c r="A279" s="34">
        <v>14</v>
      </c>
      <c r="B279" s="28" t="s">
        <v>48</v>
      </c>
      <c r="C279" s="28" t="s">
        <v>49</v>
      </c>
      <c r="D279" s="28" t="s">
        <v>24</v>
      </c>
      <c r="E279" s="66" t="s">
        <v>46</v>
      </c>
      <c r="F279" s="66" t="s">
        <v>50</v>
      </c>
      <c r="G279" s="67" t="s">
        <v>15</v>
      </c>
      <c r="H279" s="67" t="s">
        <v>15</v>
      </c>
      <c r="I279" s="68" t="str">
        <f>CONCATENATE("SUM(CASE WHEN (MCS.",F279," IN (' ', '~') OR MCS.",F279, " IS NULL) THEN 1 ELSE 0 END) AS ",F279,",")</f>
        <v>SUM(CASE WHEN (MCS.BENE_RSDNC_SSA_STD_STATE_CD IN (' ', '~') OR MCS.BENE_RSDNC_SSA_STD_STATE_CD IS NULL) THEN 1 ELSE 0 END) AS BENE_RSDNC_SSA_STD_STATE_CD,</v>
      </c>
      <c r="J279" s="66" t="s">
        <v>50</v>
      </c>
      <c r="K279" s="69"/>
      <c r="L279" s="69"/>
      <c r="M279" s="69"/>
      <c r="N279" s="69"/>
      <c r="O279" s="70"/>
      <c r="P279" s="66" t="s">
        <v>50</v>
      </c>
      <c r="Q279" s="70"/>
      <c r="R279" s="70"/>
      <c r="S279" s="71"/>
      <c r="T279" s="70"/>
      <c r="U279" s="70"/>
      <c r="V279" s="68"/>
      <c r="W279" s="69"/>
      <c r="X279" s="69"/>
      <c r="Y279" s="69"/>
      <c r="Z279" s="69"/>
      <c r="AA279" s="69"/>
      <c r="AB279" s="69"/>
      <c r="AC279" s="69"/>
      <c r="AD279" s="69"/>
      <c r="AE279" s="69"/>
      <c r="AF279" s="69"/>
    </row>
    <row r="280" spans="1:32" ht="96.6" x14ac:dyDescent="0.3">
      <c r="A280" s="34">
        <v>40</v>
      </c>
      <c r="B280" s="43" t="s">
        <v>135</v>
      </c>
      <c r="C280" s="28" t="s">
        <v>136</v>
      </c>
      <c r="D280" s="28" t="s">
        <v>24</v>
      </c>
      <c r="E280" s="28" t="s">
        <v>25</v>
      </c>
      <c r="F280" s="28" t="s">
        <v>137</v>
      </c>
      <c r="G280" s="55" t="s">
        <v>15</v>
      </c>
      <c r="H280" s="44" t="s">
        <v>15</v>
      </c>
      <c r="I280" s="45" t="str">
        <f>CONCATENATE("SUM(CASE WHEN (MCS.",F280," IN (' ', '~') OR MCS.",F280, " IS NULL) THEN 1 ELSE 0 END) AS ",F280,",")</f>
        <v>SUM(CASE WHEN (MCS.BENE_RACE_CD IN (' ', '~') OR MCS.BENE_RACE_CD IS NULL) THEN 1 ELSE 0 END) AS BENE_RACE_CD,</v>
      </c>
      <c r="J280" s="28" t="s">
        <v>137</v>
      </c>
      <c r="K280" s="46" t="s">
        <v>861</v>
      </c>
      <c r="L280" s="46">
        <v>0</v>
      </c>
      <c r="M280" s="46">
        <v>67078797</v>
      </c>
      <c r="N280" s="47">
        <f xml:space="preserve"> 1 -O280</f>
        <v>1</v>
      </c>
      <c r="O280" s="48">
        <f>L280/M280</f>
        <v>0</v>
      </c>
      <c r="P280" s="28" t="s">
        <v>137</v>
      </c>
      <c r="Q280" s="48"/>
      <c r="R280" s="48"/>
      <c r="S280" s="56">
        <v>67126071</v>
      </c>
      <c r="T280" s="48"/>
      <c r="U280" s="48"/>
      <c r="V280" s="43" t="s">
        <v>137</v>
      </c>
      <c r="W280" s="46" t="s">
        <v>862</v>
      </c>
      <c r="X280" s="46" t="s">
        <v>862</v>
      </c>
      <c r="Y280" s="46">
        <v>89974</v>
      </c>
      <c r="Z280" s="46">
        <v>71615601</v>
      </c>
      <c r="AA280" s="46">
        <v>89974</v>
      </c>
      <c r="AB280" s="46">
        <v>71615601</v>
      </c>
      <c r="AC280" s="47">
        <f>1 - AD280</f>
        <v>0</v>
      </c>
      <c r="AD280" s="47">
        <f>Y280/AA280</f>
        <v>1</v>
      </c>
      <c r="AE280" s="47">
        <f>1 - AF280</f>
        <v>0</v>
      </c>
      <c r="AF280" s="47">
        <f>Z280/AB280</f>
        <v>1</v>
      </c>
    </row>
    <row r="281" spans="1:32" ht="124.2" x14ac:dyDescent="0.3">
      <c r="A281" s="34">
        <v>251</v>
      </c>
      <c r="B281" s="43" t="s">
        <v>828</v>
      </c>
      <c r="C281" s="28" t="s">
        <v>803</v>
      </c>
      <c r="D281" s="28" t="s">
        <v>825</v>
      </c>
      <c r="E281" s="28" t="s">
        <v>31</v>
      </c>
      <c r="F281" s="28" t="s">
        <v>829</v>
      </c>
      <c r="G281" s="44" t="s">
        <v>15</v>
      </c>
      <c r="H281" s="28" t="s">
        <v>830</v>
      </c>
      <c r="I281" s="45" t="str">
        <f>CONCATENATE("SUM(CASE WHEN ",F281," IN (' ', '~') OR ",F281, " IS NULL THEN 1 ELSE 0 END) AS ",F281,",")</f>
        <v>SUM(CASE WHEN BENE_ID_TYPE_CD IN (' ', '~') OR BENE_ID_TYPE_CD IS NULL THEN 1 ELSE 0 END) AS BENE_ID_TYPE_CD,</v>
      </c>
      <c r="J281" s="28" t="s">
        <v>829</v>
      </c>
      <c r="K281" s="46" t="s">
        <v>861</v>
      </c>
      <c r="L281" s="46">
        <v>0</v>
      </c>
      <c r="M281" s="46">
        <v>67078797</v>
      </c>
      <c r="N281" s="47">
        <f xml:space="preserve"> 1 -O281</f>
        <v>1</v>
      </c>
      <c r="O281" s="48">
        <f>L281/M281</f>
        <v>0</v>
      </c>
      <c r="P281" s="49" t="s">
        <v>829</v>
      </c>
      <c r="Q281" s="50"/>
      <c r="R281" s="51">
        <v>0</v>
      </c>
      <c r="S281" s="54"/>
      <c r="T281" s="48"/>
      <c r="U281" s="48"/>
      <c r="V281" s="43" t="s">
        <v>829</v>
      </c>
      <c r="W281" s="46" t="s">
        <v>861</v>
      </c>
      <c r="X281" s="46" t="s">
        <v>861</v>
      </c>
      <c r="Y281" s="46">
        <v>0</v>
      </c>
      <c r="Z281" s="46">
        <v>0</v>
      </c>
      <c r="AA281" s="46">
        <v>89974</v>
      </c>
      <c r="AB281" s="46">
        <v>71615601</v>
      </c>
      <c r="AC281" s="47">
        <f>1 - AD281</f>
        <v>1</v>
      </c>
      <c r="AD281" s="47">
        <f>Y281/AA281</f>
        <v>0</v>
      </c>
      <c r="AE281" s="47">
        <f>1 - AF281</f>
        <v>1</v>
      </c>
      <c r="AF281" s="47">
        <f>Z281/AB281</f>
        <v>0</v>
      </c>
    </row>
    <row r="282" spans="1:32" ht="110.4" x14ac:dyDescent="0.3">
      <c r="A282" s="34">
        <v>11</v>
      </c>
      <c r="B282" s="28" t="s">
        <v>39</v>
      </c>
      <c r="C282" s="28" t="s">
        <v>40</v>
      </c>
      <c r="D282" s="28" t="s">
        <v>24</v>
      </c>
      <c r="E282" s="28" t="s">
        <v>31</v>
      </c>
      <c r="F282" s="28" t="s">
        <v>41</v>
      </c>
      <c r="G282" s="44" t="s">
        <v>15</v>
      </c>
      <c r="H282" s="44" t="s">
        <v>15</v>
      </c>
      <c r="I282" s="45" t="str">
        <f>CONCATENATE("SUM(CASE WHEN ",F282," IN (' ', '~') OR ",F282, " IS NULL THEN 1 ELSE 0 END) AS ",F282,",")</f>
        <v>SUM(CASE WHEN BENE_CTGRY_EQTBL_BIC_CD IN (' ', '~') OR BENE_CTGRY_EQTBL_BIC_CD IS NULL THEN 1 ELSE 0 END) AS BENE_CTGRY_EQTBL_BIC_CD,</v>
      </c>
      <c r="J282" s="28" t="s">
        <v>41</v>
      </c>
      <c r="K282" s="46" t="s">
        <v>861</v>
      </c>
      <c r="L282" s="46">
        <v>0</v>
      </c>
      <c r="M282" s="46">
        <v>67078797</v>
      </c>
      <c r="N282" s="47">
        <f xml:space="preserve"> 1 -O282</f>
        <v>1</v>
      </c>
      <c r="O282" s="48">
        <f>L282/M282</f>
        <v>0</v>
      </c>
      <c r="P282" s="49" t="s">
        <v>41</v>
      </c>
      <c r="Q282" s="50"/>
      <c r="R282" s="51">
        <v>0</v>
      </c>
      <c r="S282" s="54"/>
      <c r="T282" s="48"/>
      <c r="U282" s="48"/>
      <c r="V282" s="43" t="s">
        <v>41</v>
      </c>
      <c r="W282" s="46" t="s">
        <v>861</v>
      </c>
      <c r="X282" s="46" t="s">
        <v>861</v>
      </c>
      <c r="Y282" s="46">
        <v>408</v>
      </c>
      <c r="Z282" s="46">
        <v>75642</v>
      </c>
      <c r="AA282" s="46">
        <v>89974</v>
      </c>
      <c r="AB282" s="46">
        <v>71615601</v>
      </c>
      <c r="AC282" s="47">
        <f>1 - AD282</f>
        <v>0.99546535665859026</v>
      </c>
      <c r="AD282" s="47">
        <f>Y282/AA282</f>
        <v>4.5346433414097404E-3</v>
      </c>
      <c r="AE282" s="47">
        <f>1 - AF282</f>
        <v>0.99894377762744746</v>
      </c>
      <c r="AF282" s="47">
        <f>Z282/AB282</f>
        <v>1.056222372552595E-3</v>
      </c>
    </row>
    <row r="283" spans="1:32" ht="317.39999999999998" x14ac:dyDescent="0.3">
      <c r="A283" s="34">
        <v>231</v>
      </c>
      <c r="B283" s="28" t="s">
        <v>735</v>
      </c>
      <c r="C283" s="28" t="s">
        <v>896</v>
      </c>
      <c r="D283" s="28" t="s">
        <v>758</v>
      </c>
      <c r="E283" s="28" t="s">
        <v>904</v>
      </c>
      <c r="F283" s="28" t="s">
        <v>907</v>
      </c>
      <c r="G283" s="28" t="s">
        <v>902</v>
      </c>
      <c r="H283" s="28" t="s">
        <v>740</v>
      </c>
      <c r="I283" s="45" t="str">
        <f>CONCATENATE("SUM(CASE WHEN (MCS.",F283, " IS NULL) THEN 1 ELSE 0 END) AS ",F283,",")</f>
        <v>SUM(CASE WHEN (MCS.
CLM_LINE_BNFT_ENHNCMT_5_CD IS NULL) THEN 1 ELSE 0 END) AS 
CLM_LINE_BNFT_ENHNCMT_5_CD,</v>
      </c>
      <c r="J283" s="28" t="s">
        <v>907</v>
      </c>
      <c r="K283" s="46" t="s">
        <v>861</v>
      </c>
      <c r="L283" s="46">
        <v>0</v>
      </c>
      <c r="M283" s="57">
        <v>135449900</v>
      </c>
      <c r="N283" s="47">
        <f xml:space="preserve"> 1 -O283</f>
        <v>1</v>
      </c>
      <c r="O283" s="48">
        <f>L283/M283</f>
        <v>0</v>
      </c>
      <c r="P283" s="28" t="s">
        <v>907</v>
      </c>
      <c r="Q283" s="48"/>
      <c r="R283" s="48"/>
      <c r="S283" s="54"/>
      <c r="T283" s="48"/>
      <c r="U283" s="48"/>
      <c r="V283" s="43" t="s">
        <v>751</v>
      </c>
      <c r="W283" s="46" t="s">
        <v>861</v>
      </c>
      <c r="X283" s="46" t="s">
        <v>861</v>
      </c>
      <c r="Y283" s="46">
        <v>0</v>
      </c>
      <c r="Z283" s="46">
        <v>0</v>
      </c>
      <c r="AA283" s="46">
        <v>191517</v>
      </c>
      <c r="AB283" s="46">
        <v>146028020</v>
      </c>
      <c r="AC283" s="47">
        <f>1 - AD283</f>
        <v>1</v>
      </c>
      <c r="AD283" s="47">
        <f>Y283/AA283</f>
        <v>0</v>
      </c>
      <c r="AE283" s="47">
        <f>1 - AF283</f>
        <v>1</v>
      </c>
      <c r="AF283" s="47">
        <f>Z283/AB283</f>
        <v>0</v>
      </c>
    </row>
    <row r="284" spans="1:32" ht="317.39999999999998" x14ac:dyDescent="0.3">
      <c r="A284" s="34">
        <v>230</v>
      </c>
      <c r="B284" s="28" t="s">
        <v>735</v>
      </c>
      <c r="C284" s="28" t="s">
        <v>896</v>
      </c>
      <c r="D284" s="28" t="s">
        <v>756</v>
      </c>
      <c r="E284" s="28" t="s">
        <v>904</v>
      </c>
      <c r="F284" s="28" t="s">
        <v>906</v>
      </c>
      <c r="G284" s="28" t="s">
        <v>902</v>
      </c>
      <c r="H284" s="28" t="s">
        <v>740</v>
      </c>
      <c r="I284" s="45" t="str">
        <f>CONCATENATE("SUM(CASE WHEN (MCS.",F284, " IS NULL) THEN 1 ELSE 0 END) AS ",F284,",")</f>
        <v>SUM(CASE WHEN (MCS.
CLM_LINE_BNFT_ENHNCMT_4_CD IS NULL) THEN 1 ELSE 0 END) AS 
CLM_LINE_BNFT_ENHNCMT_4_CD,</v>
      </c>
      <c r="J284" s="28" t="s">
        <v>906</v>
      </c>
      <c r="K284" s="46" t="s">
        <v>861</v>
      </c>
      <c r="L284" s="46">
        <v>0</v>
      </c>
      <c r="M284" s="57">
        <v>135449900</v>
      </c>
      <c r="N284" s="47">
        <f xml:space="preserve"> 1 -O284</f>
        <v>1</v>
      </c>
      <c r="O284" s="48">
        <f>L284/M284</f>
        <v>0</v>
      </c>
      <c r="P284" s="28" t="s">
        <v>906</v>
      </c>
      <c r="Q284" s="48"/>
      <c r="R284" s="48"/>
      <c r="S284" s="54"/>
      <c r="T284" s="48"/>
      <c r="U284" s="48"/>
      <c r="V284" s="43" t="s">
        <v>750</v>
      </c>
      <c r="W284" s="46" t="s">
        <v>861</v>
      </c>
      <c r="X284" s="46" t="s">
        <v>861</v>
      </c>
      <c r="Y284" s="46">
        <v>0</v>
      </c>
      <c r="Z284" s="46">
        <v>0</v>
      </c>
      <c r="AA284" s="46">
        <v>191517</v>
      </c>
      <c r="AB284" s="46">
        <v>146028020</v>
      </c>
      <c r="AC284" s="47">
        <f>1 - AD284</f>
        <v>1</v>
      </c>
      <c r="AD284" s="47">
        <f>Y284/AA284</f>
        <v>0</v>
      </c>
      <c r="AE284" s="47">
        <f>1 - AF284</f>
        <v>1</v>
      </c>
      <c r="AF284" s="47">
        <f>Z284/AB284</f>
        <v>0</v>
      </c>
    </row>
    <row r="285" spans="1:32" ht="317.39999999999998" x14ac:dyDescent="0.3">
      <c r="A285" s="34">
        <v>229</v>
      </c>
      <c r="B285" s="28" t="s">
        <v>735</v>
      </c>
      <c r="C285" s="28" t="s">
        <v>896</v>
      </c>
      <c r="D285" s="28" t="s">
        <v>754</v>
      </c>
      <c r="E285" s="28" t="s">
        <v>904</v>
      </c>
      <c r="F285" s="28" t="s">
        <v>905</v>
      </c>
      <c r="G285" s="28" t="s">
        <v>902</v>
      </c>
      <c r="H285" s="28" t="s">
        <v>740</v>
      </c>
      <c r="I285" s="45" t="str">
        <f>CONCATENATE("SUM(CASE WHEN (MCS.",F285, " IS NULL) THEN 1 ELSE 0 END) AS ",F285,",")</f>
        <v>SUM(CASE WHEN (MCS.
CLM_LINE_BNFT_ENHNCMT_3_CD IS NULL) THEN 1 ELSE 0 END) AS 
CLM_LINE_BNFT_ENHNCMT_3_CD,</v>
      </c>
      <c r="J285" s="28" t="s">
        <v>905</v>
      </c>
      <c r="K285" s="46" t="s">
        <v>861</v>
      </c>
      <c r="L285" s="46">
        <v>0</v>
      </c>
      <c r="M285" s="57">
        <v>135449900</v>
      </c>
      <c r="N285" s="47">
        <f xml:space="preserve"> 1 -O285</f>
        <v>1</v>
      </c>
      <c r="O285" s="48">
        <f>L285/M285</f>
        <v>0</v>
      </c>
      <c r="P285" s="28" t="s">
        <v>905</v>
      </c>
      <c r="Q285" s="48"/>
      <c r="R285" s="48"/>
      <c r="S285" s="54"/>
      <c r="T285" s="48"/>
      <c r="U285" s="48"/>
      <c r="V285" s="43" t="s">
        <v>749</v>
      </c>
      <c r="W285" s="46" t="s">
        <v>861</v>
      </c>
      <c r="X285" s="46" t="s">
        <v>861</v>
      </c>
      <c r="Y285" s="46">
        <v>0</v>
      </c>
      <c r="Z285" s="46">
        <v>0</v>
      </c>
      <c r="AA285" s="46">
        <v>191517</v>
      </c>
      <c r="AB285" s="46">
        <v>146028020</v>
      </c>
      <c r="AC285" s="47">
        <f>1 - AD285</f>
        <v>1</v>
      </c>
      <c r="AD285" s="47">
        <f>Y285/AA285</f>
        <v>0</v>
      </c>
      <c r="AE285" s="47">
        <f>1 - AF285</f>
        <v>1</v>
      </c>
      <c r="AF285" s="47">
        <f>Z285/AB285</f>
        <v>0</v>
      </c>
    </row>
    <row r="286" spans="1:32" ht="317.39999999999998" x14ac:dyDescent="0.3">
      <c r="A286" s="34">
        <v>228</v>
      </c>
      <c r="B286" s="28" t="s">
        <v>735</v>
      </c>
      <c r="C286" s="28" t="s">
        <v>896</v>
      </c>
      <c r="D286" s="28" t="s">
        <v>752</v>
      </c>
      <c r="E286" s="28" t="s">
        <v>697</v>
      </c>
      <c r="F286" s="28" t="s">
        <v>903</v>
      </c>
      <c r="G286" s="28" t="s">
        <v>902</v>
      </c>
      <c r="H286" s="28" t="s">
        <v>740</v>
      </c>
      <c r="I286" s="45" t="str">
        <f>CONCATENATE("SUM(CASE WHEN (MCS.",F286, " IS NULL) THEN 1 ELSE 0 END) AS ",F286,",")</f>
        <v>SUM(CASE WHEN (MCS.
CLM_LINE_BNFT_ENHNCMT_2_CD IS NULL) THEN 1 ELSE 0 END) AS 
CLM_LINE_BNFT_ENHNCMT_2_CD,</v>
      </c>
      <c r="J286" s="28" t="s">
        <v>903</v>
      </c>
      <c r="K286" s="46" t="s">
        <v>861</v>
      </c>
      <c r="L286" s="46">
        <v>0</v>
      </c>
      <c r="M286" s="57">
        <v>135449900</v>
      </c>
      <c r="N286" s="47">
        <f xml:space="preserve"> 1 -O286</f>
        <v>1</v>
      </c>
      <c r="O286" s="48">
        <f>L286/M286</f>
        <v>0</v>
      </c>
      <c r="P286" s="28" t="s">
        <v>903</v>
      </c>
      <c r="Q286" s="48"/>
      <c r="R286" s="48"/>
      <c r="S286" s="54"/>
      <c r="T286" s="48"/>
      <c r="U286" s="48"/>
      <c r="V286" s="43" t="s">
        <v>747</v>
      </c>
      <c r="W286" s="46" t="s">
        <v>861</v>
      </c>
      <c r="X286" s="46" t="s">
        <v>861</v>
      </c>
      <c r="Y286" s="46">
        <v>0</v>
      </c>
      <c r="Z286" s="46">
        <v>0</v>
      </c>
      <c r="AA286" s="46">
        <v>191517</v>
      </c>
      <c r="AB286" s="46">
        <v>146028020</v>
      </c>
      <c r="AC286" s="47">
        <f>1 - AD286</f>
        <v>1</v>
      </c>
      <c r="AD286" s="47">
        <f>Y286/AA286</f>
        <v>0</v>
      </c>
      <c r="AE286" s="47">
        <f>1 - AF286</f>
        <v>1</v>
      </c>
      <c r="AF286" s="47">
        <f>Z286/AB286</f>
        <v>0</v>
      </c>
    </row>
    <row r="287" spans="1:32" ht="317.39999999999998" x14ac:dyDescent="0.3">
      <c r="A287" s="34">
        <v>227</v>
      </c>
      <c r="B287" s="28" t="s">
        <v>735</v>
      </c>
      <c r="C287" s="28" t="s">
        <v>896</v>
      </c>
      <c r="D287" s="28" t="s">
        <v>737</v>
      </c>
      <c r="E287" s="28" t="s">
        <v>900</v>
      </c>
      <c r="F287" s="28" t="s">
        <v>901</v>
      </c>
      <c r="G287" s="28" t="s">
        <v>902</v>
      </c>
      <c r="H287" s="28" t="s">
        <v>740</v>
      </c>
      <c r="I287" s="45" t="str">
        <f>CONCATENATE("SUM(CASE WHEN (MCS.",F287, " IS NULL) THEN 1 ELSE 0 END) AS ",F287,",")</f>
        <v>SUM(CASE WHEN (MCS.
CLM_LINE_BNFT_ENHNCMT_1_CD IS NULL) THEN 1 ELSE 0 END) AS 
CLM_LINE_BNFT_ENHNCMT_1_CD,</v>
      </c>
      <c r="J287" s="28" t="s">
        <v>901</v>
      </c>
      <c r="K287" s="46" t="s">
        <v>861</v>
      </c>
      <c r="L287" s="46">
        <v>0</v>
      </c>
      <c r="M287" s="57">
        <v>135449900</v>
      </c>
      <c r="N287" s="47">
        <f xml:space="preserve"> 1 -O287</f>
        <v>1</v>
      </c>
      <c r="O287" s="48">
        <f>L287/M287</f>
        <v>0</v>
      </c>
      <c r="P287" s="28" t="s">
        <v>901</v>
      </c>
      <c r="Q287" s="48"/>
      <c r="R287" s="48"/>
      <c r="S287" s="54"/>
      <c r="T287" s="48"/>
      <c r="U287" s="48"/>
      <c r="V287" s="43" t="s">
        <v>745</v>
      </c>
      <c r="W287" s="46" t="s">
        <v>861</v>
      </c>
      <c r="X287" s="46" t="s">
        <v>861</v>
      </c>
      <c r="Y287" s="46">
        <v>0</v>
      </c>
      <c r="Z287" s="46">
        <v>0</v>
      </c>
      <c r="AA287" s="46">
        <v>191517</v>
      </c>
      <c r="AB287" s="46">
        <v>146028020</v>
      </c>
      <c r="AC287" s="47">
        <f>1 - AD287</f>
        <v>1</v>
      </c>
      <c r="AD287" s="47">
        <f>Y287/AA287</f>
        <v>0</v>
      </c>
      <c r="AE287" s="47">
        <f>1 - AF287</f>
        <v>1</v>
      </c>
      <c r="AF287" s="47">
        <f>Z287/AB287</f>
        <v>0</v>
      </c>
    </row>
  </sheetData>
  <autoFilter ref="A2:AI287" xr:uid="{70D87A3A-EA73-4158-B443-01AA37E8906E}">
    <sortState xmlns:xlrd2="http://schemas.microsoft.com/office/spreadsheetml/2017/richdata2" ref="A3:AI287">
      <sortCondition descending="1" ref="F2:F287"/>
    </sortState>
  </autoFilter>
  <mergeCells count="3">
    <mergeCell ref="J1:O1"/>
    <mergeCell ref="B1:H1"/>
    <mergeCell ref="P1:U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AACFF-064D-4589-870D-C9169F44B38E}">
  <dimension ref="A1:D125"/>
  <sheetViews>
    <sheetView tabSelected="1" topLeftCell="A4" workbookViewId="0">
      <selection activeCell="B15" sqref="B15"/>
    </sheetView>
  </sheetViews>
  <sheetFormatPr defaultRowHeight="14.4" x14ac:dyDescent="0.3"/>
  <cols>
    <col min="1" max="1" width="15.77734375" customWidth="1"/>
    <col min="2" max="2" width="35.6640625" customWidth="1"/>
    <col min="3" max="3" width="53.6640625" customWidth="1"/>
    <col min="4" max="4" width="26.5546875" customWidth="1"/>
  </cols>
  <sheetData>
    <row r="1" spans="1:4" ht="41.4" x14ac:dyDescent="0.3">
      <c r="A1" s="27" t="s">
        <v>1016</v>
      </c>
      <c r="B1" s="27" t="s">
        <v>1017</v>
      </c>
      <c r="C1" s="31" t="s">
        <v>1019</v>
      </c>
      <c r="D1" s="27" t="s">
        <v>1018</v>
      </c>
    </row>
    <row r="2" spans="1:4" ht="28.8" x14ac:dyDescent="0.3">
      <c r="A2" s="28" t="s">
        <v>31</v>
      </c>
      <c r="B2" s="29" t="s">
        <v>920</v>
      </c>
      <c r="C2" s="32" t="s">
        <v>1020</v>
      </c>
      <c r="D2" s="30" t="s">
        <v>861</v>
      </c>
    </row>
    <row r="3" spans="1:4" ht="28.8" x14ac:dyDescent="0.3">
      <c r="A3" s="28" t="s">
        <v>31</v>
      </c>
      <c r="B3" s="29" t="s">
        <v>921</v>
      </c>
      <c r="C3" s="32" t="s">
        <v>1020</v>
      </c>
      <c r="D3" s="30" t="s">
        <v>861</v>
      </c>
    </row>
    <row r="4" spans="1:4" ht="28.8" x14ac:dyDescent="0.3">
      <c r="A4" s="28" t="s">
        <v>31</v>
      </c>
      <c r="B4" s="29" t="s">
        <v>922</v>
      </c>
      <c r="C4" s="32" t="s">
        <v>1020</v>
      </c>
      <c r="D4" s="30" t="s">
        <v>861</v>
      </c>
    </row>
    <row r="5" spans="1:4" ht="28.8" x14ac:dyDescent="0.3">
      <c r="A5" s="28" t="s">
        <v>31</v>
      </c>
      <c r="B5" s="29" t="s">
        <v>923</v>
      </c>
      <c r="C5" s="32" t="s">
        <v>1020</v>
      </c>
      <c r="D5" s="30" t="s">
        <v>861</v>
      </c>
    </row>
    <row r="6" spans="1:4" ht="28.8" x14ac:dyDescent="0.3">
      <c r="A6" s="28" t="s">
        <v>31</v>
      </c>
      <c r="B6" s="29" t="s">
        <v>924</v>
      </c>
      <c r="C6" s="32" t="s">
        <v>1020</v>
      </c>
      <c r="D6" s="30" t="s">
        <v>861</v>
      </c>
    </row>
    <row r="7" spans="1:4" ht="28.8" x14ac:dyDescent="0.3">
      <c r="A7" s="28" t="s">
        <v>31</v>
      </c>
      <c r="B7" s="29" t="s">
        <v>925</v>
      </c>
      <c r="C7" s="32" t="s">
        <v>1020</v>
      </c>
      <c r="D7" s="30" t="s">
        <v>861</v>
      </c>
    </row>
    <row r="8" spans="1:4" ht="28.8" x14ac:dyDescent="0.3">
      <c r="A8" s="28" t="s">
        <v>31</v>
      </c>
      <c r="B8" s="29" t="s">
        <v>926</v>
      </c>
      <c r="C8" s="32" t="s">
        <v>1020</v>
      </c>
      <c r="D8" s="30" t="s">
        <v>861</v>
      </c>
    </row>
    <row r="9" spans="1:4" ht="28.8" x14ac:dyDescent="0.3">
      <c r="A9" s="28" t="s">
        <v>31</v>
      </c>
      <c r="B9" s="29" t="s">
        <v>927</v>
      </c>
      <c r="C9" s="32" t="s">
        <v>1020</v>
      </c>
      <c r="D9" s="30" t="s">
        <v>861</v>
      </c>
    </row>
    <row r="10" spans="1:4" ht="28.8" x14ac:dyDescent="0.3">
      <c r="A10" s="28" t="s">
        <v>31</v>
      </c>
      <c r="B10" s="29" t="s">
        <v>928</v>
      </c>
      <c r="C10" s="32" t="s">
        <v>1020</v>
      </c>
      <c r="D10" s="30" t="s">
        <v>861</v>
      </c>
    </row>
    <row r="11" spans="1:4" ht="28.8" x14ac:dyDescent="0.3">
      <c r="A11" s="28" t="s">
        <v>31</v>
      </c>
      <c r="B11" s="29" t="s">
        <v>929</v>
      </c>
      <c r="C11" s="32" t="s">
        <v>1020</v>
      </c>
      <c r="D11" s="30" t="s">
        <v>861</v>
      </c>
    </row>
    <row r="12" spans="1:4" ht="28.8" x14ac:dyDescent="0.3">
      <c r="A12" s="28" t="s">
        <v>31</v>
      </c>
      <c r="B12" s="29" t="s">
        <v>930</v>
      </c>
      <c r="C12" s="32" t="s">
        <v>1020</v>
      </c>
      <c r="D12" s="30" t="s">
        <v>861</v>
      </c>
    </row>
    <row r="13" spans="1:4" ht="28.8" x14ac:dyDescent="0.3">
      <c r="A13" s="28" t="s">
        <v>31</v>
      </c>
      <c r="B13" s="29" t="s">
        <v>931</v>
      </c>
      <c r="C13" s="32" t="s">
        <v>1020</v>
      </c>
      <c r="D13" s="30" t="s">
        <v>861</v>
      </c>
    </row>
    <row r="14" spans="1:4" ht="28.8" x14ac:dyDescent="0.3">
      <c r="A14" s="28" t="s">
        <v>31</v>
      </c>
      <c r="B14" s="29" t="s">
        <v>932</v>
      </c>
      <c r="C14" s="32" t="s">
        <v>1020</v>
      </c>
      <c r="D14" s="30" t="s">
        <v>861</v>
      </c>
    </row>
    <row r="15" spans="1:4" x14ac:dyDescent="0.3">
      <c r="A15" s="28" t="s">
        <v>31</v>
      </c>
      <c r="B15" s="29" t="s">
        <v>933</v>
      </c>
      <c r="C15" s="32" t="s">
        <v>1020</v>
      </c>
      <c r="D15" s="30" t="s">
        <v>861</v>
      </c>
    </row>
    <row r="16" spans="1:4" x14ac:dyDescent="0.3">
      <c r="A16" s="28" t="s">
        <v>31</v>
      </c>
      <c r="B16" s="29" t="s">
        <v>934</v>
      </c>
      <c r="C16" s="32" t="s">
        <v>1020</v>
      </c>
      <c r="D16" s="30" t="s">
        <v>861</v>
      </c>
    </row>
    <row r="17" spans="1:4" x14ac:dyDescent="0.3">
      <c r="A17" s="28" t="s">
        <v>31</v>
      </c>
      <c r="B17" s="29" t="s">
        <v>935</v>
      </c>
      <c r="C17" s="32" t="s">
        <v>1020</v>
      </c>
      <c r="D17" s="30" t="s">
        <v>861</v>
      </c>
    </row>
    <row r="18" spans="1:4" x14ac:dyDescent="0.3">
      <c r="A18" s="28" t="s">
        <v>31</v>
      </c>
      <c r="B18" s="29" t="s">
        <v>936</v>
      </c>
      <c r="C18" s="32" t="s">
        <v>1020</v>
      </c>
      <c r="D18" s="30" t="s">
        <v>861</v>
      </c>
    </row>
    <row r="19" spans="1:4" x14ac:dyDescent="0.3">
      <c r="A19" s="28" t="s">
        <v>31</v>
      </c>
      <c r="B19" s="29" t="s">
        <v>937</v>
      </c>
      <c r="C19" s="32" t="s">
        <v>1020</v>
      </c>
      <c r="D19" s="30" t="s">
        <v>861</v>
      </c>
    </row>
    <row r="20" spans="1:4" x14ac:dyDescent="0.3">
      <c r="A20" s="28" t="s">
        <v>31</v>
      </c>
      <c r="B20" s="29" t="s">
        <v>938</v>
      </c>
      <c r="C20" s="32" t="s">
        <v>1020</v>
      </c>
      <c r="D20" s="30" t="s">
        <v>861</v>
      </c>
    </row>
    <row r="21" spans="1:4" x14ac:dyDescent="0.3">
      <c r="A21" s="28" t="s">
        <v>31</v>
      </c>
      <c r="B21" s="29" t="s">
        <v>939</v>
      </c>
      <c r="C21" s="32" t="s">
        <v>1020</v>
      </c>
      <c r="D21" s="30" t="s">
        <v>861</v>
      </c>
    </row>
    <row r="22" spans="1:4" x14ac:dyDescent="0.3">
      <c r="A22" s="28" t="s">
        <v>25</v>
      </c>
      <c r="B22" s="29" t="s">
        <v>940</v>
      </c>
      <c r="C22" s="32" t="s">
        <v>1020</v>
      </c>
      <c r="D22" s="30" t="s">
        <v>861</v>
      </c>
    </row>
    <row r="23" spans="1:4" x14ac:dyDescent="0.3">
      <c r="A23" s="28" t="s">
        <v>25</v>
      </c>
      <c r="B23" s="29" t="s">
        <v>878</v>
      </c>
      <c r="C23" s="32" t="s">
        <v>1020</v>
      </c>
      <c r="D23" s="30" t="s">
        <v>861</v>
      </c>
    </row>
    <row r="24" spans="1:4" x14ac:dyDescent="0.3">
      <c r="A24" s="28" t="s">
        <v>25</v>
      </c>
      <c r="B24" s="29" t="s">
        <v>941</v>
      </c>
      <c r="C24" s="32" t="s">
        <v>1020</v>
      </c>
      <c r="D24" s="30" t="s">
        <v>861</v>
      </c>
    </row>
    <row r="25" spans="1:4" x14ac:dyDescent="0.3">
      <c r="A25" s="28" t="s">
        <v>25</v>
      </c>
      <c r="B25" s="29" t="s">
        <v>942</v>
      </c>
      <c r="C25" s="32" t="s">
        <v>1020</v>
      </c>
      <c r="D25" s="30" t="s">
        <v>861</v>
      </c>
    </row>
    <row r="26" spans="1:4" x14ac:dyDescent="0.3">
      <c r="A26" s="28" t="s">
        <v>25</v>
      </c>
      <c r="B26" s="29" t="s">
        <v>943</v>
      </c>
      <c r="C26" s="32" t="s">
        <v>1020</v>
      </c>
      <c r="D26" s="30" t="s">
        <v>861</v>
      </c>
    </row>
    <row r="27" spans="1:4" x14ac:dyDescent="0.3">
      <c r="A27" s="28" t="s">
        <v>25</v>
      </c>
      <c r="B27" s="29" t="s">
        <v>944</v>
      </c>
      <c r="C27" s="32" t="s">
        <v>1020</v>
      </c>
      <c r="D27" s="30" t="s">
        <v>861</v>
      </c>
    </row>
    <row r="28" spans="1:4" x14ac:dyDescent="0.3">
      <c r="A28" s="28" t="s">
        <v>25</v>
      </c>
      <c r="B28" s="29" t="s">
        <v>945</v>
      </c>
      <c r="C28" s="32" t="s">
        <v>1020</v>
      </c>
      <c r="D28" s="30" t="s">
        <v>861</v>
      </c>
    </row>
    <row r="29" spans="1:4" x14ac:dyDescent="0.3">
      <c r="A29" s="28" t="s">
        <v>25</v>
      </c>
      <c r="B29" s="29" t="s">
        <v>946</v>
      </c>
      <c r="C29" s="32" t="s">
        <v>1020</v>
      </c>
      <c r="D29" s="30" t="s">
        <v>861</v>
      </c>
    </row>
    <row r="30" spans="1:4" x14ac:dyDescent="0.3">
      <c r="A30" s="28" t="s">
        <v>25</v>
      </c>
      <c r="B30" s="29" t="s">
        <v>938</v>
      </c>
      <c r="C30" s="32" t="s">
        <v>1020</v>
      </c>
      <c r="D30" s="30" t="s">
        <v>861</v>
      </c>
    </row>
    <row r="31" spans="1:4" x14ac:dyDescent="0.3">
      <c r="A31" s="28" t="s">
        <v>25</v>
      </c>
      <c r="B31" s="29" t="s">
        <v>32</v>
      </c>
      <c r="C31" s="32" t="s">
        <v>1020</v>
      </c>
      <c r="D31" s="30" t="s">
        <v>861</v>
      </c>
    </row>
    <row r="32" spans="1:4" x14ac:dyDescent="0.3">
      <c r="A32" s="28" t="s">
        <v>25</v>
      </c>
      <c r="B32" s="29" t="s">
        <v>947</v>
      </c>
      <c r="C32" s="32" t="s">
        <v>1020</v>
      </c>
      <c r="D32" s="30" t="s">
        <v>861</v>
      </c>
    </row>
    <row r="33" spans="1:4" x14ac:dyDescent="0.3">
      <c r="A33" s="28" t="s">
        <v>25</v>
      </c>
      <c r="B33" s="29" t="s">
        <v>948</v>
      </c>
      <c r="C33" s="32" t="s">
        <v>1020</v>
      </c>
      <c r="D33" s="30" t="s">
        <v>861</v>
      </c>
    </row>
    <row r="34" spans="1:4" ht="27.6" x14ac:dyDescent="0.3">
      <c r="A34" s="25" t="s">
        <v>55</v>
      </c>
      <c r="B34" s="29" t="s">
        <v>949</v>
      </c>
      <c r="C34" s="32" t="s">
        <v>1020</v>
      </c>
      <c r="D34" s="30" t="s">
        <v>861</v>
      </c>
    </row>
    <row r="35" spans="1:4" ht="27.6" x14ac:dyDescent="0.3">
      <c r="A35" s="25" t="s">
        <v>55</v>
      </c>
      <c r="B35" s="29" t="s">
        <v>950</v>
      </c>
      <c r="C35" s="32" t="s">
        <v>1020</v>
      </c>
      <c r="D35" s="30" t="s">
        <v>861</v>
      </c>
    </row>
    <row r="36" spans="1:4" ht="27.6" x14ac:dyDescent="0.3">
      <c r="A36" s="25" t="s">
        <v>55</v>
      </c>
      <c r="B36" s="29" t="s">
        <v>951</v>
      </c>
      <c r="C36" s="32" t="s">
        <v>1020</v>
      </c>
      <c r="D36" s="30" t="s">
        <v>861</v>
      </c>
    </row>
    <row r="37" spans="1:4" ht="27.6" x14ac:dyDescent="0.3">
      <c r="A37" s="25" t="s">
        <v>55</v>
      </c>
      <c r="B37" s="29" t="s">
        <v>952</v>
      </c>
      <c r="C37" s="32" t="s">
        <v>1020</v>
      </c>
      <c r="D37" s="30" t="s">
        <v>861</v>
      </c>
    </row>
    <row r="38" spans="1:4" ht="27.6" x14ac:dyDescent="0.3">
      <c r="A38" s="25" t="s">
        <v>55</v>
      </c>
      <c r="B38" s="29" t="s">
        <v>953</v>
      </c>
      <c r="C38" s="32" t="s">
        <v>1020</v>
      </c>
      <c r="D38" s="30" t="s">
        <v>861</v>
      </c>
    </row>
    <row r="39" spans="1:4" ht="27.6" x14ac:dyDescent="0.3">
      <c r="A39" s="25" t="s">
        <v>55</v>
      </c>
      <c r="B39" s="29" t="s">
        <v>954</v>
      </c>
      <c r="C39" s="32" t="s">
        <v>1020</v>
      </c>
      <c r="D39" s="30" t="s">
        <v>861</v>
      </c>
    </row>
    <row r="40" spans="1:4" ht="27.6" x14ac:dyDescent="0.3">
      <c r="A40" s="25" t="s">
        <v>55</v>
      </c>
      <c r="B40" s="29" t="s">
        <v>955</v>
      </c>
      <c r="C40" s="32" t="s">
        <v>1020</v>
      </c>
      <c r="D40" s="30" t="s">
        <v>861</v>
      </c>
    </row>
    <row r="41" spans="1:4" ht="27.6" x14ac:dyDescent="0.3">
      <c r="A41" s="25" t="s">
        <v>55</v>
      </c>
      <c r="B41" s="29" t="s">
        <v>956</v>
      </c>
      <c r="C41" s="32" t="s">
        <v>1020</v>
      </c>
      <c r="D41" s="30" t="s">
        <v>861</v>
      </c>
    </row>
    <row r="42" spans="1:4" ht="27.6" x14ac:dyDescent="0.3">
      <c r="A42" s="25" t="s">
        <v>55</v>
      </c>
      <c r="B42" s="29" t="s">
        <v>957</v>
      </c>
      <c r="C42" s="32" t="s">
        <v>1020</v>
      </c>
      <c r="D42" s="30" t="s">
        <v>861</v>
      </c>
    </row>
    <row r="43" spans="1:4" ht="27.6" x14ac:dyDescent="0.3">
      <c r="A43" s="25" t="s">
        <v>55</v>
      </c>
      <c r="B43" s="29" t="s">
        <v>958</v>
      </c>
      <c r="C43" s="32" t="s">
        <v>1020</v>
      </c>
      <c r="D43" s="30" t="s">
        <v>861</v>
      </c>
    </row>
    <row r="44" spans="1:4" ht="27.6" x14ac:dyDescent="0.3">
      <c r="A44" s="25" t="s">
        <v>55</v>
      </c>
      <c r="B44" s="29" t="s">
        <v>959</v>
      </c>
      <c r="C44" s="32" t="s">
        <v>1020</v>
      </c>
      <c r="D44" s="30" t="s">
        <v>861</v>
      </c>
    </row>
    <row r="45" spans="1:4" ht="27.6" x14ac:dyDescent="0.3">
      <c r="A45" s="25" t="s">
        <v>55</v>
      </c>
      <c r="B45" s="29" t="s">
        <v>960</v>
      </c>
      <c r="C45" s="32" t="s">
        <v>1020</v>
      </c>
      <c r="D45" s="30" t="s">
        <v>861</v>
      </c>
    </row>
    <row r="46" spans="1:4" ht="27.6" x14ac:dyDescent="0.3">
      <c r="A46" s="25" t="s">
        <v>55</v>
      </c>
      <c r="B46" s="29" t="s">
        <v>961</v>
      </c>
      <c r="C46" s="32" t="s">
        <v>1020</v>
      </c>
      <c r="D46" s="30" t="s">
        <v>861</v>
      </c>
    </row>
    <row r="47" spans="1:4" ht="27.6" x14ac:dyDescent="0.3">
      <c r="A47" s="25" t="s">
        <v>55</v>
      </c>
      <c r="B47" s="29" t="s">
        <v>962</v>
      </c>
      <c r="C47" s="32" t="s">
        <v>1020</v>
      </c>
      <c r="D47" s="30" t="s">
        <v>861</v>
      </c>
    </row>
    <row r="48" spans="1:4" ht="27.6" x14ac:dyDescent="0.3">
      <c r="A48" s="25" t="s">
        <v>55</v>
      </c>
      <c r="B48" s="29" t="s">
        <v>115</v>
      </c>
      <c r="C48" s="32" t="s">
        <v>1020</v>
      </c>
      <c r="D48" s="30" t="s">
        <v>861</v>
      </c>
    </row>
    <row r="49" spans="1:4" ht="27.6" x14ac:dyDescent="0.3">
      <c r="A49" s="25" t="s">
        <v>55</v>
      </c>
      <c r="B49" s="29" t="s">
        <v>963</v>
      </c>
      <c r="C49" s="32" t="s">
        <v>1020</v>
      </c>
      <c r="D49" s="30" t="s">
        <v>861</v>
      </c>
    </row>
    <row r="50" spans="1:4" ht="27.6" x14ac:dyDescent="0.3">
      <c r="A50" s="25" t="s">
        <v>55</v>
      </c>
      <c r="B50" s="29" t="s">
        <v>964</v>
      </c>
      <c r="C50" s="32" t="s">
        <v>1020</v>
      </c>
      <c r="D50" s="30" t="s">
        <v>861</v>
      </c>
    </row>
    <row r="51" spans="1:4" ht="27.6" x14ac:dyDescent="0.3">
      <c r="A51" s="25" t="s">
        <v>55</v>
      </c>
      <c r="B51" s="29" t="s">
        <v>965</v>
      </c>
      <c r="C51" s="32" t="s">
        <v>1020</v>
      </c>
      <c r="D51" s="30" t="s">
        <v>861</v>
      </c>
    </row>
    <row r="52" spans="1:4" ht="27.6" x14ac:dyDescent="0.3">
      <c r="A52" s="25" t="s">
        <v>55</v>
      </c>
      <c r="B52" s="29" t="s">
        <v>966</v>
      </c>
      <c r="C52" s="32" t="s">
        <v>1020</v>
      </c>
      <c r="D52" s="30" t="s">
        <v>861</v>
      </c>
    </row>
    <row r="53" spans="1:4" ht="27.6" x14ac:dyDescent="0.3">
      <c r="A53" s="25" t="s">
        <v>55</v>
      </c>
      <c r="B53" s="29" t="s">
        <v>967</v>
      </c>
      <c r="C53" s="32" t="s">
        <v>1020</v>
      </c>
      <c r="D53" s="30" t="s">
        <v>861</v>
      </c>
    </row>
    <row r="54" spans="1:4" ht="27.6" x14ac:dyDescent="0.3">
      <c r="A54" s="73" t="s">
        <v>55</v>
      </c>
      <c r="B54" s="74" t="s">
        <v>968</v>
      </c>
      <c r="C54" s="32" t="s">
        <v>1020</v>
      </c>
      <c r="D54" s="30" t="s">
        <v>861</v>
      </c>
    </row>
    <row r="55" spans="1:4" ht="27.6" x14ac:dyDescent="0.3">
      <c r="A55" s="25" t="s">
        <v>55</v>
      </c>
      <c r="B55" s="29" t="s">
        <v>969</v>
      </c>
      <c r="C55" s="32" t="s">
        <v>1020</v>
      </c>
      <c r="D55" s="30" t="s">
        <v>861</v>
      </c>
    </row>
    <row r="56" spans="1:4" x14ac:dyDescent="0.3">
      <c r="A56" s="25" t="s">
        <v>57</v>
      </c>
      <c r="B56" s="29" t="s">
        <v>921</v>
      </c>
      <c r="C56" s="32" t="s">
        <v>1020</v>
      </c>
      <c r="D56" s="30" t="s">
        <v>861</v>
      </c>
    </row>
    <row r="57" spans="1:4" x14ac:dyDescent="0.3">
      <c r="A57" s="25" t="s">
        <v>57</v>
      </c>
      <c r="B57" s="29" t="s">
        <v>161</v>
      </c>
      <c r="C57" s="32" t="s">
        <v>1020</v>
      </c>
      <c r="D57" s="30" t="s">
        <v>861</v>
      </c>
    </row>
    <row r="58" spans="1:4" x14ac:dyDescent="0.3">
      <c r="A58" s="25" t="s">
        <v>57</v>
      </c>
      <c r="B58" s="29" t="s">
        <v>970</v>
      </c>
      <c r="C58" s="32" t="s">
        <v>1020</v>
      </c>
      <c r="D58" s="30" t="s">
        <v>861</v>
      </c>
    </row>
    <row r="59" spans="1:4" x14ac:dyDescent="0.3">
      <c r="A59" s="25" t="s">
        <v>57</v>
      </c>
      <c r="B59" s="29" t="s">
        <v>464</v>
      </c>
      <c r="C59" s="32" t="s">
        <v>1020</v>
      </c>
      <c r="D59" s="30" t="s">
        <v>861</v>
      </c>
    </row>
    <row r="60" spans="1:4" x14ac:dyDescent="0.3">
      <c r="A60" s="25" t="s">
        <v>57</v>
      </c>
      <c r="B60" s="29" t="s">
        <v>971</v>
      </c>
      <c r="C60" s="32" t="s">
        <v>1020</v>
      </c>
      <c r="D60" s="30" t="s">
        <v>861</v>
      </c>
    </row>
    <row r="61" spans="1:4" x14ac:dyDescent="0.3">
      <c r="A61" s="25" t="s">
        <v>57</v>
      </c>
      <c r="B61" s="29" t="s">
        <v>972</v>
      </c>
      <c r="C61" s="32" t="s">
        <v>1020</v>
      </c>
      <c r="D61" s="30" t="s">
        <v>861</v>
      </c>
    </row>
    <row r="62" spans="1:4" x14ac:dyDescent="0.3">
      <c r="A62" s="25" t="s">
        <v>57</v>
      </c>
      <c r="B62" s="29" t="s">
        <v>973</v>
      </c>
      <c r="C62" s="32" t="s">
        <v>1020</v>
      </c>
      <c r="D62" s="30" t="s">
        <v>861</v>
      </c>
    </row>
    <row r="63" spans="1:4" x14ac:dyDescent="0.3">
      <c r="A63" s="25" t="s">
        <v>57</v>
      </c>
      <c r="B63" s="29" t="s">
        <v>974</v>
      </c>
      <c r="C63" s="32" t="s">
        <v>1020</v>
      </c>
      <c r="D63" s="30" t="s">
        <v>861</v>
      </c>
    </row>
    <row r="64" spans="1:4" x14ac:dyDescent="0.3">
      <c r="A64" s="25" t="s">
        <v>57</v>
      </c>
      <c r="B64" s="29" t="s">
        <v>975</v>
      </c>
      <c r="C64" s="32" t="s">
        <v>1020</v>
      </c>
      <c r="D64" s="30" t="s">
        <v>861</v>
      </c>
    </row>
    <row r="65" spans="1:4" x14ac:dyDescent="0.3">
      <c r="A65" s="25" t="s">
        <v>57</v>
      </c>
      <c r="B65" s="29" t="s">
        <v>976</v>
      </c>
      <c r="C65" s="32" t="s">
        <v>1020</v>
      </c>
      <c r="D65" s="30" t="s">
        <v>861</v>
      </c>
    </row>
    <row r="66" spans="1:4" x14ac:dyDescent="0.3">
      <c r="A66" s="25" t="s">
        <v>57</v>
      </c>
      <c r="B66" s="29" t="s">
        <v>938</v>
      </c>
      <c r="C66" s="32" t="s">
        <v>1020</v>
      </c>
      <c r="D66" s="30" t="s">
        <v>861</v>
      </c>
    </row>
    <row r="67" spans="1:4" x14ac:dyDescent="0.3">
      <c r="A67" s="25" t="s">
        <v>57</v>
      </c>
      <c r="B67" s="29" t="s">
        <v>32</v>
      </c>
      <c r="C67" s="32" t="s">
        <v>1020</v>
      </c>
      <c r="D67" s="30" t="s">
        <v>861</v>
      </c>
    </row>
    <row r="68" spans="1:4" x14ac:dyDescent="0.3">
      <c r="A68" s="25" t="s">
        <v>57</v>
      </c>
      <c r="B68" s="29" t="s">
        <v>977</v>
      </c>
      <c r="C68" s="32" t="s">
        <v>1020</v>
      </c>
      <c r="D68" s="30" t="s">
        <v>861</v>
      </c>
    </row>
    <row r="69" spans="1:4" ht="27.6" x14ac:dyDescent="0.3">
      <c r="A69" s="25" t="s">
        <v>697</v>
      </c>
      <c r="B69" s="29" t="s">
        <v>745</v>
      </c>
      <c r="C69" s="32" t="s">
        <v>1020</v>
      </c>
      <c r="D69" s="30" t="s">
        <v>861</v>
      </c>
    </row>
    <row r="70" spans="1:4" ht="27.6" x14ac:dyDescent="0.3">
      <c r="A70" s="25" t="s">
        <v>697</v>
      </c>
      <c r="B70" s="29" t="s">
        <v>747</v>
      </c>
      <c r="C70" s="32" t="s">
        <v>1020</v>
      </c>
      <c r="D70" s="30" t="s">
        <v>861</v>
      </c>
    </row>
    <row r="71" spans="1:4" ht="27.6" x14ac:dyDescent="0.3">
      <c r="A71" s="25" t="s">
        <v>697</v>
      </c>
      <c r="B71" s="29" t="s">
        <v>749</v>
      </c>
      <c r="C71" s="32" t="s">
        <v>1020</v>
      </c>
      <c r="D71" s="30" t="s">
        <v>861</v>
      </c>
    </row>
    <row r="72" spans="1:4" ht="27.6" x14ac:dyDescent="0.3">
      <c r="A72" s="25" t="s">
        <v>697</v>
      </c>
      <c r="B72" s="29" t="s">
        <v>750</v>
      </c>
      <c r="C72" s="32" t="s">
        <v>1020</v>
      </c>
      <c r="D72" s="30" t="s">
        <v>861</v>
      </c>
    </row>
    <row r="73" spans="1:4" ht="27.6" x14ac:dyDescent="0.3">
      <c r="A73" s="25" t="s">
        <v>697</v>
      </c>
      <c r="B73" s="29" t="s">
        <v>759</v>
      </c>
      <c r="C73" s="32" t="s">
        <v>1020</v>
      </c>
      <c r="D73" s="30" t="s">
        <v>861</v>
      </c>
    </row>
    <row r="74" spans="1:4" ht="27.6" x14ac:dyDescent="0.3">
      <c r="A74" s="25" t="s">
        <v>697</v>
      </c>
      <c r="B74" s="29" t="s">
        <v>738</v>
      </c>
      <c r="C74" s="32" t="s">
        <v>1020</v>
      </c>
      <c r="D74" s="30" t="s">
        <v>861</v>
      </c>
    </row>
    <row r="75" spans="1:4" ht="27.6" x14ac:dyDescent="0.3">
      <c r="A75" s="25" t="s">
        <v>697</v>
      </c>
      <c r="B75" s="29" t="s">
        <v>755</v>
      </c>
      <c r="C75" s="32" t="s">
        <v>1020</v>
      </c>
      <c r="D75" s="30" t="s">
        <v>861</v>
      </c>
    </row>
    <row r="76" spans="1:4" ht="27.6" x14ac:dyDescent="0.3">
      <c r="A76" s="25" t="s">
        <v>697</v>
      </c>
      <c r="B76" s="29" t="s">
        <v>757</v>
      </c>
      <c r="C76" s="32" t="s">
        <v>1020</v>
      </c>
      <c r="D76" s="30" t="s">
        <v>861</v>
      </c>
    </row>
    <row r="77" spans="1:4" ht="27.6" x14ac:dyDescent="0.3">
      <c r="A77" s="25" t="s">
        <v>697</v>
      </c>
      <c r="B77" s="29" t="s">
        <v>753</v>
      </c>
      <c r="C77" s="32" t="s">
        <v>1020</v>
      </c>
      <c r="D77" s="30" t="s">
        <v>861</v>
      </c>
    </row>
    <row r="78" spans="1:4" ht="27.6" x14ac:dyDescent="0.3">
      <c r="A78" s="25" t="s">
        <v>697</v>
      </c>
      <c r="B78" s="29" t="s">
        <v>973</v>
      </c>
      <c r="C78" s="32" t="s">
        <v>1020</v>
      </c>
      <c r="D78" s="30" t="s">
        <v>861</v>
      </c>
    </row>
    <row r="79" spans="1:4" ht="27.6" x14ac:dyDescent="0.3">
      <c r="A79" s="25" t="s">
        <v>697</v>
      </c>
      <c r="B79" s="29" t="s">
        <v>978</v>
      </c>
      <c r="C79" s="32" t="s">
        <v>1020</v>
      </c>
      <c r="D79" s="30" t="s">
        <v>861</v>
      </c>
    </row>
    <row r="80" spans="1:4" ht="27.6" x14ac:dyDescent="0.3">
      <c r="A80" s="25" t="s">
        <v>697</v>
      </c>
      <c r="B80" s="29" t="s">
        <v>32</v>
      </c>
      <c r="C80" s="32" t="s">
        <v>1020</v>
      </c>
      <c r="D80" s="30" t="s">
        <v>861</v>
      </c>
    </row>
    <row r="81" spans="1:4" ht="27.6" x14ac:dyDescent="0.3">
      <c r="A81" s="25" t="s">
        <v>660</v>
      </c>
      <c r="B81" s="29" t="s">
        <v>973</v>
      </c>
      <c r="C81" s="32" t="s">
        <v>1020</v>
      </c>
      <c r="D81" s="30" t="s">
        <v>861</v>
      </c>
    </row>
    <row r="82" spans="1:4" ht="27.6" x14ac:dyDescent="0.3">
      <c r="A82" s="25" t="s">
        <v>660</v>
      </c>
      <c r="B82" s="29" t="s">
        <v>979</v>
      </c>
      <c r="C82" s="32" t="s">
        <v>1020</v>
      </c>
      <c r="D82" s="30" t="s">
        <v>861</v>
      </c>
    </row>
    <row r="83" spans="1:4" ht="27.6" x14ac:dyDescent="0.3">
      <c r="A83" s="25" t="s">
        <v>660</v>
      </c>
      <c r="B83" s="29" t="s">
        <v>32</v>
      </c>
      <c r="C83" s="32" t="s">
        <v>1020</v>
      </c>
      <c r="D83" s="30" t="s">
        <v>861</v>
      </c>
    </row>
    <row r="84" spans="1:4" ht="27.6" x14ac:dyDescent="0.3">
      <c r="A84" s="26" t="s">
        <v>436</v>
      </c>
      <c r="B84" s="29" t="s">
        <v>980</v>
      </c>
      <c r="C84" s="32" t="s">
        <v>1020</v>
      </c>
      <c r="D84" s="30" t="s">
        <v>861</v>
      </c>
    </row>
    <row r="85" spans="1:4" ht="27.6" x14ac:dyDescent="0.3">
      <c r="A85" s="26" t="s">
        <v>436</v>
      </c>
      <c r="B85" s="29" t="s">
        <v>973</v>
      </c>
      <c r="C85" s="32" t="s">
        <v>1020</v>
      </c>
      <c r="D85" s="30" t="s">
        <v>861</v>
      </c>
    </row>
    <row r="86" spans="1:4" ht="27.6" x14ac:dyDescent="0.3">
      <c r="A86" s="26" t="s">
        <v>436</v>
      </c>
      <c r="B86" s="29" t="s">
        <v>938</v>
      </c>
      <c r="C86" s="32" t="s">
        <v>1020</v>
      </c>
      <c r="D86" s="30" t="s">
        <v>861</v>
      </c>
    </row>
    <row r="87" spans="1:4" ht="27.6" x14ac:dyDescent="0.3">
      <c r="A87" s="26" t="s">
        <v>436</v>
      </c>
      <c r="B87" s="29" t="s">
        <v>32</v>
      </c>
      <c r="C87" s="32" t="s">
        <v>1020</v>
      </c>
      <c r="D87" s="30" t="s">
        <v>861</v>
      </c>
    </row>
    <row r="88" spans="1:4" ht="27.6" x14ac:dyDescent="0.3">
      <c r="A88" s="26" t="s">
        <v>436</v>
      </c>
      <c r="B88" s="29" t="s">
        <v>981</v>
      </c>
      <c r="C88" s="32" t="s">
        <v>1020</v>
      </c>
      <c r="D88" s="30" t="s">
        <v>861</v>
      </c>
    </row>
    <row r="89" spans="1:4" ht="27.6" x14ac:dyDescent="0.3">
      <c r="A89" s="26" t="s">
        <v>436</v>
      </c>
      <c r="B89" s="29" t="s">
        <v>982</v>
      </c>
      <c r="C89" s="32" t="s">
        <v>1020</v>
      </c>
      <c r="D89" s="30" t="s">
        <v>861</v>
      </c>
    </row>
    <row r="90" spans="1:4" x14ac:dyDescent="0.3">
      <c r="A90" s="25" t="s">
        <v>170</v>
      </c>
      <c r="B90" s="29" t="s">
        <v>938</v>
      </c>
      <c r="C90" s="32" t="s">
        <v>1020</v>
      </c>
      <c r="D90" s="51" t="s">
        <v>861</v>
      </c>
    </row>
    <row r="91" spans="1:4" x14ac:dyDescent="0.3">
      <c r="A91" s="25" t="s">
        <v>170</v>
      </c>
      <c r="B91" s="29" t="s">
        <v>32</v>
      </c>
      <c r="C91" s="32" t="s">
        <v>1020</v>
      </c>
      <c r="D91" s="51" t="s">
        <v>861</v>
      </c>
    </row>
    <row r="92" spans="1:4" x14ac:dyDescent="0.3">
      <c r="A92" s="26" t="s">
        <v>160</v>
      </c>
      <c r="B92" s="29" t="s">
        <v>983</v>
      </c>
      <c r="C92" s="32" t="s">
        <v>1020</v>
      </c>
      <c r="D92" s="51" t="s">
        <v>861</v>
      </c>
    </row>
    <row r="93" spans="1:4" x14ac:dyDescent="0.3">
      <c r="A93" s="26" t="s">
        <v>160</v>
      </c>
      <c r="B93" s="29" t="s">
        <v>984</v>
      </c>
      <c r="C93" s="32" t="s">
        <v>1020</v>
      </c>
      <c r="D93" s="51" t="s">
        <v>861</v>
      </c>
    </row>
    <row r="94" spans="1:4" x14ac:dyDescent="0.3">
      <c r="A94" s="26" t="s">
        <v>160</v>
      </c>
      <c r="B94" s="29" t="s">
        <v>32</v>
      </c>
      <c r="C94" s="32" t="s">
        <v>1020</v>
      </c>
      <c r="D94" s="51" t="s">
        <v>861</v>
      </c>
    </row>
    <row r="95" spans="1:4" x14ac:dyDescent="0.3">
      <c r="A95" s="26" t="s">
        <v>160</v>
      </c>
      <c r="B95" s="29" t="s">
        <v>985</v>
      </c>
      <c r="C95" s="32" t="s">
        <v>1020</v>
      </c>
      <c r="D95" s="51" t="s">
        <v>861</v>
      </c>
    </row>
    <row r="96" spans="1:4" ht="27.6" x14ac:dyDescent="0.3">
      <c r="A96" s="26" t="s">
        <v>162</v>
      </c>
      <c r="B96" s="29" t="s">
        <v>986</v>
      </c>
      <c r="C96" s="32" t="s">
        <v>1020</v>
      </c>
      <c r="D96" s="51" t="s">
        <v>861</v>
      </c>
    </row>
    <row r="97" spans="1:4" ht="27.6" x14ac:dyDescent="0.3">
      <c r="A97" s="26" t="s">
        <v>162</v>
      </c>
      <c r="B97" s="29" t="s">
        <v>987</v>
      </c>
      <c r="C97" s="32" t="s">
        <v>1020</v>
      </c>
      <c r="D97" s="51" t="s">
        <v>861</v>
      </c>
    </row>
    <row r="98" spans="1:4" ht="27.6" x14ac:dyDescent="0.3">
      <c r="A98" s="26" t="s">
        <v>162</v>
      </c>
      <c r="B98" s="29" t="s">
        <v>988</v>
      </c>
      <c r="C98" s="32" t="s">
        <v>1020</v>
      </c>
      <c r="D98" s="51" t="s">
        <v>861</v>
      </c>
    </row>
    <row r="99" spans="1:4" ht="27.6" x14ac:dyDescent="0.3">
      <c r="A99" s="26" t="s">
        <v>162</v>
      </c>
      <c r="B99" s="29" t="s">
        <v>989</v>
      </c>
      <c r="C99" s="32" t="s">
        <v>1020</v>
      </c>
      <c r="D99" s="51" t="s">
        <v>861</v>
      </c>
    </row>
    <row r="100" spans="1:4" ht="27.6" x14ac:dyDescent="0.3">
      <c r="A100" s="26" t="s">
        <v>162</v>
      </c>
      <c r="B100" s="29" t="s">
        <v>990</v>
      </c>
      <c r="C100" s="32" t="s">
        <v>1020</v>
      </c>
      <c r="D100" s="51" t="s">
        <v>861</v>
      </c>
    </row>
    <row r="101" spans="1:4" ht="27.6" x14ac:dyDescent="0.3">
      <c r="A101" s="26" t="s">
        <v>162</v>
      </c>
      <c r="B101" s="29" t="s">
        <v>991</v>
      </c>
      <c r="C101" s="32" t="s">
        <v>1020</v>
      </c>
      <c r="D101" s="51" t="s">
        <v>861</v>
      </c>
    </row>
    <row r="102" spans="1:4" ht="27.6" x14ac:dyDescent="0.3">
      <c r="A102" s="26" t="s">
        <v>162</v>
      </c>
      <c r="B102" s="29" t="s">
        <v>992</v>
      </c>
      <c r="C102" s="32" t="s">
        <v>1020</v>
      </c>
      <c r="D102" s="51" t="s">
        <v>861</v>
      </c>
    </row>
    <row r="103" spans="1:4" ht="27.6" x14ac:dyDescent="0.3">
      <c r="A103" s="26" t="s">
        <v>162</v>
      </c>
      <c r="B103" s="29" t="s">
        <v>993</v>
      </c>
      <c r="C103" s="32" t="s">
        <v>1020</v>
      </c>
      <c r="D103" s="51" t="s">
        <v>861</v>
      </c>
    </row>
    <row r="104" spans="1:4" ht="27.6" x14ac:dyDescent="0.3">
      <c r="A104" s="26" t="s">
        <v>162</v>
      </c>
      <c r="B104" s="29" t="s">
        <v>994</v>
      </c>
      <c r="C104" s="32" t="s">
        <v>1020</v>
      </c>
      <c r="D104" s="51" t="s">
        <v>861</v>
      </c>
    </row>
    <row r="105" spans="1:4" ht="27.6" x14ac:dyDescent="0.3">
      <c r="A105" s="26" t="s">
        <v>162</v>
      </c>
      <c r="B105" s="29" t="s">
        <v>995</v>
      </c>
      <c r="C105" s="32" t="s">
        <v>1020</v>
      </c>
      <c r="D105" s="51" t="s">
        <v>861</v>
      </c>
    </row>
    <row r="106" spans="1:4" ht="27.6" x14ac:dyDescent="0.3">
      <c r="A106" s="26" t="s">
        <v>162</v>
      </c>
      <c r="B106" s="29" t="s">
        <v>996</v>
      </c>
      <c r="C106" s="32" t="s">
        <v>1020</v>
      </c>
      <c r="D106" s="51" t="s">
        <v>861</v>
      </c>
    </row>
    <row r="107" spans="1:4" ht="27.6" x14ac:dyDescent="0.3">
      <c r="A107" s="26" t="s">
        <v>162</v>
      </c>
      <c r="B107" s="29" t="s">
        <v>997</v>
      </c>
      <c r="C107" s="32" t="s">
        <v>1020</v>
      </c>
      <c r="D107" s="51" t="s">
        <v>861</v>
      </c>
    </row>
    <row r="108" spans="1:4" ht="27.6" x14ac:dyDescent="0.3">
      <c r="A108" s="26" t="s">
        <v>162</v>
      </c>
      <c r="B108" s="29" t="s">
        <v>998</v>
      </c>
      <c r="C108" s="32" t="s">
        <v>1020</v>
      </c>
      <c r="D108" s="51" t="s">
        <v>861</v>
      </c>
    </row>
    <row r="109" spans="1:4" ht="27.6" x14ac:dyDescent="0.3">
      <c r="A109" s="26" t="s">
        <v>162</v>
      </c>
      <c r="B109" s="29" t="s">
        <v>999</v>
      </c>
      <c r="C109" s="32" t="s">
        <v>1020</v>
      </c>
      <c r="D109" s="51" t="s">
        <v>861</v>
      </c>
    </row>
    <row r="110" spans="1:4" ht="27.6" x14ac:dyDescent="0.3">
      <c r="A110" s="26" t="s">
        <v>162</v>
      </c>
      <c r="B110" s="29" t="s">
        <v>1000</v>
      </c>
      <c r="C110" s="32" t="s">
        <v>1020</v>
      </c>
      <c r="D110" s="51" t="s">
        <v>861</v>
      </c>
    </row>
    <row r="111" spans="1:4" ht="27.6" x14ac:dyDescent="0.3">
      <c r="A111" s="26" t="s">
        <v>162</v>
      </c>
      <c r="B111" s="29" t="s">
        <v>1001</v>
      </c>
      <c r="C111" s="32" t="s">
        <v>1020</v>
      </c>
      <c r="D111" s="51" t="s">
        <v>861</v>
      </c>
    </row>
    <row r="112" spans="1:4" ht="27.6" x14ac:dyDescent="0.3">
      <c r="A112" s="26" t="s">
        <v>162</v>
      </c>
      <c r="B112" s="29" t="s">
        <v>1002</v>
      </c>
      <c r="C112" s="32" t="s">
        <v>1020</v>
      </c>
      <c r="D112" s="51" t="s">
        <v>861</v>
      </c>
    </row>
    <row r="113" spans="1:4" ht="27.6" x14ac:dyDescent="0.3">
      <c r="A113" s="26" t="s">
        <v>162</v>
      </c>
      <c r="B113" s="29" t="s">
        <v>1003</v>
      </c>
      <c r="C113" s="32" t="s">
        <v>1020</v>
      </c>
      <c r="D113" s="51" t="s">
        <v>861</v>
      </c>
    </row>
    <row r="114" spans="1:4" ht="27.6" x14ac:dyDescent="0.3">
      <c r="A114" s="26" t="s">
        <v>162</v>
      </c>
      <c r="B114" s="29" t="s">
        <v>1004</v>
      </c>
      <c r="C114" s="32" t="s">
        <v>1020</v>
      </c>
      <c r="D114" s="51" t="s">
        <v>861</v>
      </c>
    </row>
    <row r="115" spans="1:4" ht="27.6" x14ac:dyDescent="0.3">
      <c r="A115" s="26" t="s">
        <v>162</v>
      </c>
      <c r="B115" s="29" t="s">
        <v>1005</v>
      </c>
      <c r="C115" s="32" t="s">
        <v>1020</v>
      </c>
      <c r="D115" s="51" t="s">
        <v>861</v>
      </c>
    </row>
    <row r="116" spans="1:4" ht="27.6" x14ac:dyDescent="0.3">
      <c r="A116" s="26" t="s">
        <v>162</v>
      </c>
      <c r="B116" s="29" t="s">
        <v>1006</v>
      </c>
      <c r="C116" s="32" t="s">
        <v>1020</v>
      </c>
      <c r="D116" s="51" t="s">
        <v>861</v>
      </c>
    </row>
    <row r="117" spans="1:4" ht="27.6" x14ac:dyDescent="0.3">
      <c r="A117" s="26" t="s">
        <v>162</v>
      </c>
      <c r="B117" s="29" t="s">
        <v>1007</v>
      </c>
      <c r="C117" s="32" t="s">
        <v>1020</v>
      </c>
      <c r="D117" s="51" t="s">
        <v>861</v>
      </c>
    </row>
    <row r="118" spans="1:4" ht="27.6" x14ac:dyDescent="0.3">
      <c r="A118" s="26" t="s">
        <v>162</v>
      </c>
      <c r="B118" s="29" t="s">
        <v>1008</v>
      </c>
      <c r="C118" s="32" t="s">
        <v>1020</v>
      </c>
      <c r="D118" s="51" t="s">
        <v>861</v>
      </c>
    </row>
    <row r="119" spans="1:4" ht="27.6" x14ac:dyDescent="0.3">
      <c r="A119" s="26" t="s">
        <v>162</v>
      </c>
      <c r="B119" s="29" t="s">
        <v>1009</v>
      </c>
      <c r="C119" s="32" t="s">
        <v>1020</v>
      </c>
      <c r="D119" s="51" t="s">
        <v>861</v>
      </c>
    </row>
    <row r="120" spans="1:4" ht="27.6" x14ac:dyDescent="0.3">
      <c r="A120" s="26" t="s">
        <v>162</v>
      </c>
      <c r="B120" s="29" t="s">
        <v>1010</v>
      </c>
      <c r="C120" s="32" t="s">
        <v>1020</v>
      </c>
      <c r="D120" s="51" t="s">
        <v>861</v>
      </c>
    </row>
    <row r="121" spans="1:4" ht="27.6" x14ac:dyDescent="0.3">
      <c r="A121" s="26" t="s">
        <v>162</v>
      </c>
      <c r="B121" s="29" t="s">
        <v>1011</v>
      </c>
      <c r="C121" s="32" t="s">
        <v>1020</v>
      </c>
      <c r="D121" s="51" t="s">
        <v>861</v>
      </c>
    </row>
    <row r="122" spans="1:4" ht="27.6" x14ac:dyDescent="0.3">
      <c r="A122" s="26" t="s">
        <v>162</v>
      </c>
      <c r="B122" s="29" t="s">
        <v>1012</v>
      </c>
      <c r="C122" s="32" t="s">
        <v>1020</v>
      </c>
      <c r="D122" s="51" t="s">
        <v>861</v>
      </c>
    </row>
    <row r="123" spans="1:4" ht="27.6" x14ac:dyDescent="0.3">
      <c r="A123" s="26" t="s">
        <v>162</v>
      </c>
      <c r="B123" s="29" t="s">
        <v>1013</v>
      </c>
      <c r="C123" s="32" t="s">
        <v>1020</v>
      </c>
      <c r="D123" s="51" t="s">
        <v>861</v>
      </c>
    </row>
    <row r="124" spans="1:4" ht="27.6" x14ac:dyDescent="0.3">
      <c r="A124" s="26" t="s">
        <v>162</v>
      </c>
      <c r="B124" s="29" t="s">
        <v>60</v>
      </c>
      <c r="C124" s="32" t="s">
        <v>1020</v>
      </c>
      <c r="D124" s="51" t="s">
        <v>861</v>
      </c>
    </row>
    <row r="125" spans="1:4" ht="27.6" x14ac:dyDescent="0.3">
      <c r="A125" s="26" t="s">
        <v>162</v>
      </c>
      <c r="B125" s="29" t="s">
        <v>32</v>
      </c>
      <c r="C125" s="32" t="s">
        <v>1020</v>
      </c>
      <c r="D125" s="51" t="s">
        <v>861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A568E73AFDD84CB5B9B3401B753BD6" ma:contentTypeVersion="4" ma:contentTypeDescription="Create a new document." ma:contentTypeScope="" ma:versionID="59d9594840e76d9bb3be0bc6e4d99aac">
  <xsd:schema xmlns:xsd="http://www.w3.org/2001/XMLSchema" xmlns:xs="http://www.w3.org/2001/XMLSchema" xmlns:p="http://schemas.microsoft.com/office/2006/metadata/properties" xmlns:ns2="e4f620fb-e1ac-460c-8c7d-bb1e143a0f66" targetNamespace="http://schemas.microsoft.com/office/2006/metadata/properties" ma:root="true" ma:fieldsID="e22b669f52c28f0d2691b60235013726" ns2:_="">
    <xsd:import namespace="e4f620fb-e1ac-460c-8c7d-bb1e143a0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f620fb-e1ac-460c-8c7d-bb1e143a0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4D7A36E-1F16-41A5-B6A3-9729F88E61ED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75232542-796A-4123-BCE0-670B6562D4C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608CC4-5CE1-4982-A270-5C3D09E460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f620fb-e1ac-460c-8c7d-bb1e143a0f6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Lynnette's Version</vt:lpstr>
      <vt:lpstr>NCH STTM to NCH Data &amp; % Pop</vt:lpstr>
      <vt:lpstr>Missing STTM Cols with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Laura Manning</dc:creator>
  <cp:keywords/>
  <dc:description/>
  <cp:lastModifiedBy>Laura Manning</cp:lastModifiedBy>
  <cp:revision/>
  <dcterms:created xsi:type="dcterms:W3CDTF">2024-12-05T13:50:30Z</dcterms:created>
  <dcterms:modified xsi:type="dcterms:W3CDTF">2024-12-13T19:33:15Z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0x0101002AA568E73AFDD84CB5B9B3401B753BD6</vt:lpwstr>
  </property>
</Properties>
</file>